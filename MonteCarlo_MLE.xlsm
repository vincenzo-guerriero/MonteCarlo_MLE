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PC_Enzo\Articoli_da_Pubblicare\Articoli_da_Pubblicare_2019\Max_Likelihood_Methods\Stratab_Max_Likelihood\Computers_&amp;_Geosciences\Inviato_Apr_2023\"/>
    </mc:Choice>
  </mc:AlternateContent>
  <xr:revisionPtr revIDLastSave="0" documentId="13_ncr:1_{60C8441A-772B-465E-97FD-24DD189DDBA6}" xr6:coauthVersionLast="47" xr6:coauthVersionMax="47" xr10:uidLastSave="{00000000-0000-0000-0000-000000000000}"/>
  <bookViews>
    <workbookView xWindow="-108" yWindow="-108" windowWidth="23256" windowHeight="12456" tabRatio="874" xr2:uid="{00000000-000D-0000-FFFF-FFFF00000000}"/>
  </bookViews>
  <sheets>
    <sheet name="MLE" sheetId="58" r:id="rId1"/>
    <sheet name="LSM" sheetId="68" r:id="rId2"/>
    <sheet name="Results" sheetId="66"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94" i="58" l="1"/>
  <c r="P94" i="58" s="1"/>
  <c r="O93" i="58"/>
  <c r="O92" i="58"/>
  <c r="O91" i="58"/>
  <c r="O90" i="58"/>
  <c r="O89" i="58"/>
  <c r="O88" i="58"/>
  <c r="P88" i="58" s="1"/>
  <c r="O87" i="58"/>
  <c r="P87" i="58" s="1"/>
  <c r="O86" i="58"/>
  <c r="P86" i="58" s="1"/>
  <c r="O85" i="58"/>
  <c r="P85" i="58" s="1"/>
  <c r="O84" i="58"/>
  <c r="P84" i="58" s="1"/>
  <c r="O83" i="58"/>
  <c r="P83" i="58" s="1"/>
  <c r="O82" i="58"/>
  <c r="P82" i="58" s="1"/>
  <c r="O81" i="58"/>
  <c r="O80" i="58"/>
  <c r="O79" i="58"/>
  <c r="P79" i="58" s="1"/>
  <c r="O78" i="58"/>
  <c r="P78" i="58" s="1"/>
  <c r="O77" i="58"/>
  <c r="O76" i="58"/>
  <c r="P76" i="58" s="1"/>
  <c r="O75" i="58"/>
  <c r="P75" i="58" s="1"/>
  <c r="O74" i="58"/>
  <c r="P74" i="58" s="1"/>
  <c r="O73" i="58"/>
  <c r="O72" i="58"/>
  <c r="O71" i="58"/>
  <c r="O70" i="58"/>
  <c r="P70" i="58" s="1"/>
  <c r="O69" i="58"/>
  <c r="O68" i="58"/>
  <c r="O67" i="58"/>
  <c r="O66" i="58"/>
  <c r="O65" i="58"/>
  <c r="O64" i="58"/>
  <c r="O63" i="58"/>
  <c r="O62" i="58"/>
  <c r="P62" i="58" s="1"/>
  <c r="O61" i="58"/>
  <c r="P72" i="58"/>
  <c r="P73" i="58"/>
  <c r="P77" i="58"/>
  <c r="P80" i="58"/>
  <c r="P81" i="58"/>
  <c r="P69" i="58"/>
  <c r="P71" i="58"/>
  <c r="O60" i="58"/>
  <c r="P60" i="58" s="1"/>
  <c r="Q62" i="58"/>
  <c r="Q60" i="58"/>
  <c r="I60" i="68"/>
  <c r="J60" i="68" s="1"/>
  <c r="I61" i="68"/>
  <c r="J61" i="68"/>
  <c r="I62" i="68"/>
  <c r="J62" i="68"/>
  <c r="K62" i="68" s="1"/>
  <c r="I63" i="68"/>
  <c r="J63" i="68"/>
  <c r="K63" i="68" s="1"/>
  <c r="I64" i="68"/>
  <c r="J64" i="68"/>
  <c r="K64" i="68" s="1"/>
  <c r="I65" i="68"/>
  <c r="J65" i="68"/>
  <c r="K65" i="68" s="1"/>
  <c r="I66" i="68"/>
  <c r="J66" i="68" s="1"/>
  <c r="K66" i="68" s="1"/>
  <c r="I67" i="68"/>
  <c r="J67" i="68"/>
  <c r="I68" i="68"/>
  <c r="J68" i="68"/>
  <c r="I69" i="68"/>
  <c r="J69" i="68"/>
  <c r="I70" i="68"/>
  <c r="J70" i="68"/>
  <c r="I71" i="68"/>
  <c r="J71" i="68"/>
  <c r="K71" i="68" s="1"/>
  <c r="I72" i="68"/>
  <c r="J72" i="68" s="1"/>
  <c r="K72" i="68" s="1"/>
  <c r="I73" i="68"/>
  <c r="J73" i="68"/>
  <c r="I74" i="68"/>
  <c r="J74" i="68"/>
  <c r="K74" i="68" s="1"/>
  <c r="I75" i="68"/>
  <c r="J75" i="68"/>
  <c r="K75" i="68" s="1"/>
  <c r="I76" i="68"/>
  <c r="J76" i="68"/>
  <c r="K76" i="68" s="1"/>
  <c r="I77" i="68"/>
  <c r="J77" i="68"/>
  <c r="K77" i="68" s="1"/>
  <c r="I78" i="68"/>
  <c r="J78" i="68" s="1"/>
  <c r="K78" i="68" s="1"/>
  <c r="I79" i="68"/>
  <c r="J79" i="68"/>
  <c r="I80" i="68"/>
  <c r="J80" i="68"/>
  <c r="I81" i="68"/>
  <c r="J81" i="68"/>
  <c r="I82" i="68"/>
  <c r="J82" i="68"/>
  <c r="I83" i="68"/>
  <c r="J83" i="68"/>
  <c r="K83" i="68" s="1"/>
  <c r="I84" i="68"/>
  <c r="J84" i="68" s="1"/>
  <c r="K84" i="68" s="1"/>
  <c r="I85" i="68"/>
  <c r="J85" i="68"/>
  <c r="I86" i="68"/>
  <c r="J86" i="68"/>
  <c r="K86" i="68" s="1"/>
  <c r="I87" i="68"/>
  <c r="J87" i="68"/>
  <c r="K87" i="68" s="1"/>
  <c r="I88" i="68"/>
  <c r="J88" i="68"/>
  <c r="K88" i="68" s="1"/>
  <c r="I89" i="68"/>
  <c r="J89" i="68"/>
  <c r="K89" i="68" s="1"/>
  <c r="I90" i="68"/>
  <c r="J90" i="68" s="1"/>
  <c r="K90" i="68" s="1"/>
  <c r="I91" i="68"/>
  <c r="J91" i="68"/>
  <c r="I92" i="68"/>
  <c r="J92" i="68"/>
  <c r="I93" i="68"/>
  <c r="J93" i="68"/>
  <c r="I94" i="68"/>
  <c r="J94" i="68"/>
  <c r="F52" i="68"/>
  <c r="K61" i="68"/>
  <c r="K67" i="68"/>
  <c r="K68" i="68"/>
  <c r="K69" i="68"/>
  <c r="K70" i="68"/>
  <c r="K73" i="68"/>
  <c r="K79" i="68"/>
  <c r="K80" i="68"/>
  <c r="K81" i="68"/>
  <c r="K82" i="68"/>
  <c r="K85" i="68"/>
  <c r="K91" i="68"/>
  <c r="K92" i="68"/>
  <c r="K93" i="68"/>
  <c r="K94" i="68"/>
  <c r="K60" i="58"/>
  <c r="K61" i="58"/>
  <c r="K62" i="58"/>
  <c r="K63" i="58"/>
  <c r="K64" i="58"/>
  <c r="K65" i="58"/>
  <c r="K66" i="58"/>
  <c r="K67" i="58"/>
  <c r="K68" i="58"/>
  <c r="K69" i="58"/>
  <c r="K70" i="58"/>
  <c r="K71" i="58"/>
  <c r="K72" i="58"/>
  <c r="K73" i="58"/>
  <c r="K74" i="58"/>
  <c r="K75" i="58"/>
  <c r="K76" i="58"/>
  <c r="K77" i="58"/>
  <c r="K78" i="58"/>
  <c r="K79" i="58"/>
  <c r="K80" i="58"/>
  <c r="K81" i="58"/>
  <c r="K82" i="58"/>
  <c r="K83" i="58"/>
  <c r="K84" i="58"/>
  <c r="K85" i="58"/>
  <c r="K86" i="58"/>
  <c r="K87" i="58"/>
  <c r="K88" i="58"/>
  <c r="K89" i="58"/>
  <c r="K90" i="58"/>
  <c r="K91" i="58"/>
  <c r="K92" i="58"/>
  <c r="K93" i="58"/>
  <c r="K94" i="58"/>
  <c r="O94" i="68"/>
  <c r="P94" i="68"/>
  <c r="O93" i="68"/>
  <c r="P93" i="68"/>
  <c r="O92" i="68"/>
  <c r="P92" i="68"/>
  <c r="O91" i="68"/>
  <c r="P91" i="68"/>
  <c r="O90" i="68"/>
  <c r="P90" i="68"/>
  <c r="O89" i="68"/>
  <c r="P89" i="68" s="1"/>
  <c r="O88" i="68"/>
  <c r="P88" i="68"/>
  <c r="O87" i="68"/>
  <c r="P87" i="68" s="1"/>
  <c r="O86" i="68"/>
  <c r="P86" i="68"/>
  <c r="O85" i="68"/>
  <c r="P85" i="68"/>
  <c r="O84" i="68"/>
  <c r="P84" i="68" s="1"/>
  <c r="O83" i="68"/>
  <c r="P83" i="68" s="1"/>
  <c r="O82" i="68"/>
  <c r="P82" i="68"/>
  <c r="O81" i="68"/>
  <c r="P81" i="68"/>
  <c r="O80" i="68"/>
  <c r="P80" i="68"/>
  <c r="O79" i="68"/>
  <c r="P79" i="68" s="1"/>
  <c r="O78" i="68"/>
  <c r="P78" i="68"/>
  <c r="O77" i="68"/>
  <c r="P77" i="68" s="1"/>
  <c r="O76" i="68"/>
  <c r="P76" i="68"/>
  <c r="O75" i="68"/>
  <c r="P75" i="68" s="1"/>
  <c r="O74" i="68"/>
  <c r="P74" i="68"/>
  <c r="O73" i="68"/>
  <c r="P73" i="68"/>
  <c r="O72" i="68"/>
  <c r="P72" i="68" s="1"/>
  <c r="O71" i="68"/>
  <c r="P71" i="68" s="1"/>
  <c r="O70" i="68"/>
  <c r="P70" i="68"/>
  <c r="O69" i="68"/>
  <c r="P69" i="68"/>
  <c r="O68" i="68"/>
  <c r="P68" i="68"/>
  <c r="O67" i="68"/>
  <c r="P67" i="68" s="1"/>
  <c r="O66" i="68"/>
  <c r="P66" i="68"/>
  <c r="O65" i="68"/>
  <c r="P65" i="68" s="1"/>
  <c r="O64" i="68"/>
  <c r="P64" i="68"/>
  <c r="O63" i="68"/>
  <c r="P63" i="68" s="1"/>
  <c r="X62" i="68"/>
  <c r="W62" i="68"/>
  <c r="V62" i="68"/>
  <c r="Q62" i="68"/>
  <c r="O62" i="68"/>
  <c r="P62" i="68"/>
  <c r="O61" i="68"/>
  <c r="P61" i="68" s="1"/>
  <c r="X60" i="68"/>
  <c r="W60" i="68"/>
  <c r="V60" i="68"/>
  <c r="Q60" i="68"/>
  <c r="O60" i="68"/>
  <c r="P60" i="68"/>
  <c r="F55" i="68"/>
  <c r="F54" i="68"/>
  <c r="G48" i="68"/>
  <c r="G47" i="68"/>
  <c r="K46" i="68" a="1"/>
  <c r="K46" i="68"/>
  <c r="G46" i="68"/>
  <c r="G45" i="68"/>
  <c r="G44" i="68"/>
  <c r="G43" i="68"/>
  <c r="G42" i="68"/>
  <c r="G41" i="68"/>
  <c r="G40" i="68"/>
  <c r="P63" i="58"/>
  <c r="P64" i="58"/>
  <c r="P65" i="58"/>
  <c r="P66" i="58"/>
  <c r="P67" i="58"/>
  <c r="P68" i="58"/>
  <c r="P89" i="58"/>
  <c r="P90" i="58"/>
  <c r="P91" i="58"/>
  <c r="P92" i="58"/>
  <c r="P93" i="58"/>
  <c r="K46" i="58" a="1"/>
  <c r="L46" i="58" s="1"/>
  <c r="K46" i="58"/>
  <c r="I60" i="58"/>
  <c r="J60" i="58"/>
  <c r="I61" i="58"/>
  <c r="J61" i="58"/>
  <c r="I62" i="58"/>
  <c r="J62" i="58"/>
  <c r="I63" i="58"/>
  <c r="J63" i="58"/>
  <c r="J46" i="58" s="1"/>
  <c r="I64" i="58"/>
  <c r="J64" i="58"/>
  <c r="I65" i="58"/>
  <c r="J65" i="58"/>
  <c r="I66" i="58"/>
  <c r="J66" i="58"/>
  <c r="I67" i="58"/>
  <c r="J67" i="58"/>
  <c r="I68" i="58"/>
  <c r="J68" i="58"/>
  <c r="I69" i="58"/>
  <c r="J69" i="58"/>
  <c r="I70" i="58"/>
  <c r="J70" i="58"/>
  <c r="I71" i="58"/>
  <c r="J71" i="58"/>
  <c r="I72" i="58"/>
  <c r="J72" i="58"/>
  <c r="I73" i="58"/>
  <c r="J73" i="58"/>
  <c r="I74" i="58"/>
  <c r="J74" i="58"/>
  <c r="I75" i="58"/>
  <c r="J75" i="58"/>
  <c r="I76" i="58"/>
  <c r="J76" i="58"/>
  <c r="I77" i="58"/>
  <c r="J77" i="58"/>
  <c r="I78" i="58"/>
  <c r="J78" i="58"/>
  <c r="I79" i="58"/>
  <c r="J79" i="58"/>
  <c r="I80" i="58"/>
  <c r="J80" i="58"/>
  <c r="I81" i="58"/>
  <c r="J81" i="58"/>
  <c r="I82" i="58"/>
  <c r="J82" i="58"/>
  <c r="I83" i="58"/>
  <c r="J83" i="58"/>
  <c r="I84" i="58"/>
  <c r="J84" i="58"/>
  <c r="I85" i="58"/>
  <c r="J85" i="58"/>
  <c r="I86" i="58"/>
  <c r="J86" i="58"/>
  <c r="I87" i="58"/>
  <c r="J87" i="58"/>
  <c r="I88" i="58"/>
  <c r="J88" i="58"/>
  <c r="I89" i="58"/>
  <c r="J89" i="58"/>
  <c r="I90" i="58"/>
  <c r="J90" i="58"/>
  <c r="I91" i="58"/>
  <c r="J91" i="58"/>
  <c r="I92" i="58"/>
  <c r="J92" i="58"/>
  <c r="I93" i="58"/>
  <c r="J93" i="58"/>
  <c r="I94" i="58"/>
  <c r="J94" i="58"/>
  <c r="F52" i="58"/>
  <c r="F55" i="58"/>
  <c r="F54" i="58"/>
  <c r="G40" i="58"/>
  <c r="G41" i="58"/>
  <c r="G42" i="58"/>
  <c r="G43" i="58"/>
  <c r="G44" i="58"/>
  <c r="G45" i="58"/>
  <c r="G46" i="58"/>
  <c r="G47" i="58"/>
  <c r="G48" i="58"/>
  <c r="P61" i="58"/>
  <c r="X60" i="58"/>
  <c r="V60" i="58"/>
  <c r="W60" i="58"/>
  <c r="X62" i="58"/>
  <c r="V62" i="58"/>
  <c r="W62" i="58"/>
  <c r="L46" i="68"/>
  <c r="J55" i="58" l="1"/>
  <c r="K60" i="68"/>
  <c r="J55" i="68" s="1"/>
  <c r="J46" i="68"/>
</calcChain>
</file>

<file path=xl/sharedStrings.xml><?xml version="1.0" encoding="utf-8"?>
<sst xmlns="http://schemas.openxmlformats.org/spreadsheetml/2006/main" count="116" uniqueCount="50">
  <si>
    <t>x</t>
  </si>
  <si>
    <t>m</t>
  </si>
  <si>
    <t>y</t>
  </si>
  <si>
    <t>inc/dec</t>
  </si>
  <si>
    <t>j</t>
  </si>
  <si>
    <t>InvNorm</t>
  </si>
  <si>
    <t>st dev</t>
  </si>
  <si>
    <t>ln S - ln y</t>
  </si>
  <si>
    <t>True values</t>
  </si>
  <si>
    <t>ln y</t>
  </si>
  <si>
    <t>Stdev n</t>
  </si>
  <si>
    <t>Stdev m</t>
  </si>
  <si>
    <t>True sd res</t>
  </si>
  <si>
    <t>Residual sd</t>
  </si>
  <si>
    <t>n</t>
  </si>
  <si>
    <t>True m value</t>
  </si>
  <si>
    <t>True n value</t>
  </si>
  <si>
    <t>Estimated m value</t>
  </si>
  <si>
    <t>Estimated n value</t>
  </si>
  <si>
    <t>Apert. Class</t>
  </si>
  <si>
    <t>Class Limits</t>
  </si>
  <si>
    <t>Probability</t>
  </si>
  <si>
    <t>Excel St Deviation</t>
  </si>
  <si>
    <t>Const. Term "n"</t>
  </si>
  <si>
    <t>Coefficient "m"</t>
  </si>
  <si>
    <t>Log Likelihood</t>
  </si>
  <si>
    <t>inv LogNorm.</t>
  </si>
  <si>
    <t>Avg</t>
  </si>
  <si>
    <t>Bed Thickness</t>
  </si>
  <si>
    <t>Rnd</t>
  </si>
  <si>
    <t>Excel Lin. Regression</t>
  </si>
  <si>
    <t>Field data</t>
  </si>
  <si>
    <t>Resampled</t>
  </si>
  <si>
    <t>Sup. Limit</t>
  </si>
  <si>
    <t>Inf. Limit</t>
  </si>
  <si>
    <t>Frequency</t>
  </si>
  <si>
    <t>St Dev</t>
  </si>
  <si>
    <t>d</t>
  </si>
  <si>
    <t>True value</t>
  </si>
  <si>
    <t>St. Dev. "d"</t>
  </si>
  <si>
    <t>MLE St Dev. "d"</t>
  </si>
  <si>
    <t>MLE Coeff. "m"</t>
  </si>
  <si>
    <t>MLE Const. Term "n"</t>
  </si>
  <si>
    <t>Log Residuals</t>
  </si>
  <si>
    <t>Bed Thickn. (cm)</t>
  </si>
  <si>
    <t>Aperture (mm)</t>
  </si>
  <si>
    <t>Bed Thickn.</t>
  </si>
  <si>
    <t xml:space="preserve"> </t>
  </si>
  <si>
    <t>Maximum Likelihood</t>
  </si>
  <si>
    <t>Least Squares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</si>
</sst>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00000E+00"/>
  </numFmts>
  <fonts count="17" x14ac:knownFonts="1">
    <font>
      <sz val="11"/>
      <color indexed="8"/>
      <name val="Calibri"/>
      <family val="2"/>
    </font>
    <font>
      <sz val="11"/>
      <color indexed="10"/>
      <name val="Calibri"/>
      <family val="2"/>
    </font>
    <font>
      <sz val="10"/>
      <name val="Arial"/>
      <family val="2"/>
    </font>
    <font>
      <sz val="8"/>
      <name val="Calibri"/>
      <family val="2"/>
    </font>
    <font>
      <sz val="11"/>
      <color indexed="10"/>
      <name val="Calibri"/>
      <family val="2"/>
    </font>
    <font>
      <sz val="11"/>
      <color indexed="10"/>
      <name val="Calibri"/>
      <family val="2"/>
    </font>
    <font>
      <sz val="11"/>
      <color indexed="10"/>
      <name val="Calibri"/>
      <family val="2"/>
    </font>
    <font>
      <b/>
      <sz val="11"/>
      <color indexed="8"/>
      <name val="Calibri"/>
      <family val="2"/>
    </font>
    <font>
      <b/>
      <sz val="11"/>
      <color indexed="10"/>
      <name val="Calibri"/>
      <family val="2"/>
    </font>
    <font>
      <b/>
      <sz val="11"/>
      <name val="Calibri"/>
      <family val="2"/>
    </font>
    <font>
      <b/>
      <sz val="11"/>
      <color indexed="60"/>
      <name val="Calibri"/>
      <family val="2"/>
    </font>
    <font>
      <b/>
      <sz val="11"/>
      <color indexed="13"/>
      <name val="Calibri"/>
      <family val="2"/>
    </font>
    <font>
      <b/>
      <sz val="11"/>
      <color indexed="13"/>
      <name val="Calibri"/>
      <family val="2"/>
    </font>
    <font>
      <sz val="11"/>
      <color indexed="16"/>
      <name val="Calibri"/>
      <family val="2"/>
    </font>
    <font>
      <b/>
      <sz val="11"/>
      <color indexed="56"/>
      <name val="Calibri"/>
      <family val="2"/>
    </font>
    <font>
      <sz val="11"/>
      <color theme="3"/>
      <name val="Calibri"/>
      <family val="2"/>
    </font>
    <font>
      <sz val="11"/>
      <color theme="5" tint="-0.499984740745262"/>
      <name val="Calibri"/>
      <family val="2"/>
    </font>
  </fonts>
  <fills count="10">
    <fill>
      <patternFill patternType="none"/>
    </fill>
    <fill>
      <patternFill patternType="gray125"/>
    </fill>
    <fill>
      <patternFill patternType="solid">
        <fgColor indexed="13"/>
        <bgColor indexed="64"/>
      </patternFill>
    </fill>
    <fill>
      <patternFill patternType="solid">
        <fgColor indexed="53"/>
        <bgColor indexed="64"/>
      </patternFill>
    </fill>
    <fill>
      <patternFill patternType="solid">
        <fgColor indexed="31"/>
        <bgColor indexed="64"/>
      </patternFill>
    </fill>
    <fill>
      <patternFill patternType="solid">
        <fgColor indexed="51"/>
        <bgColor indexed="64"/>
      </patternFill>
    </fill>
    <fill>
      <patternFill patternType="solid">
        <fgColor indexed="18"/>
        <bgColor indexed="64"/>
      </patternFill>
    </fill>
    <fill>
      <patternFill patternType="solid">
        <fgColor indexed="11"/>
        <bgColor indexed="64"/>
      </patternFill>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2">
    <xf numFmtId="0" fontId="0" fillId="0" borderId="0"/>
    <xf numFmtId="0" fontId="2" fillId="0" borderId="0"/>
  </cellStyleXfs>
  <cellXfs count="32">
    <xf numFmtId="0" fontId="0" fillId="0" borderId="0" xfId="0"/>
    <xf numFmtId="0" fontId="0" fillId="0" borderId="0" xfId="0" applyAlignment="1">
      <alignment horizontal="center"/>
    </xf>
    <xf numFmtId="0" fontId="1" fillId="0" borderId="0" xfId="0" applyFont="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4" fillId="2" borderId="0" xfId="0" applyFont="1" applyFill="1" applyAlignment="1">
      <alignment horizontal="center"/>
    </xf>
    <xf numFmtId="0" fontId="5" fillId="2" borderId="0" xfId="0" applyFont="1" applyFill="1" applyAlignment="1">
      <alignment horizontal="center"/>
    </xf>
    <xf numFmtId="0" fontId="7" fillId="0" borderId="0" xfId="0" applyFont="1" applyAlignment="1">
      <alignment horizontal="center"/>
    </xf>
    <xf numFmtId="0" fontId="6" fillId="0" borderId="0" xfId="0" applyFont="1" applyAlignment="1">
      <alignment horizontal="center"/>
    </xf>
    <xf numFmtId="0" fontId="0" fillId="3" borderId="0" xfId="0" applyFill="1" applyAlignment="1">
      <alignment horizontal="center"/>
    </xf>
    <xf numFmtId="0" fontId="0" fillId="2" borderId="0" xfId="0" applyFill="1" applyAlignment="1">
      <alignment horizontal="center"/>
    </xf>
    <xf numFmtId="0" fontId="0" fillId="4" borderId="0" xfId="0" applyFill="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8" fillId="0" borderId="0" xfId="0" applyFont="1" applyAlignment="1">
      <alignment horizontal="center"/>
    </xf>
    <xf numFmtId="0" fontId="9" fillId="0" borderId="0" xfId="0" applyFont="1" applyAlignment="1">
      <alignment horizontal="center"/>
    </xf>
    <xf numFmtId="164" fontId="10" fillId="5" borderId="0" xfId="0" applyNumberFormat="1" applyFont="1" applyFill="1" applyAlignment="1">
      <alignment horizontal="center"/>
    </xf>
    <xf numFmtId="0" fontId="11" fillId="6" borderId="0" xfId="0" applyFont="1" applyFill="1" applyAlignment="1">
      <alignment horizontal="center"/>
    </xf>
    <xf numFmtId="0" fontId="12" fillId="6" borderId="0" xfId="0" applyFont="1" applyFill="1" applyAlignment="1">
      <alignment horizontal="center"/>
    </xf>
    <xf numFmtId="0" fontId="7" fillId="0" borderId="0" xfId="0" applyFont="1" applyAlignment="1">
      <alignment horizontal="center" wrapText="1"/>
    </xf>
    <xf numFmtId="0" fontId="13" fillId="7" borderId="0" xfId="0" applyFont="1" applyFill="1" applyAlignment="1">
      <alignment horizontal="center"/>
    </xf>
    <xf numFmtId="0" fontId="14" fillId="4" borderId="0" xfId="0" applyFont="1" applyFill="1" applyAlignment="1">
      <alignment horizontal="center"/>
    </xf>
    <xf numFmtId="0" fontId="7" fillId="0" borderId="0" xfId="0" applyFont="1" applyAlignment="1">
      <alignment horizontal="center"/>
    </xf>
    <xf numFmtId="0" fontId="15" fillId="9" borderId="0" xfId="0" applyFont="1" applyFill="1" applyAlignment="1">
      <alignment horizontal="center"/>
    </xf>
    <xf numFmtId="0" fontId="15" fillId="9" borderId="0" xfId="0" applyFont="1" applyFill="1"/>
    <xf numFmtId="0" fontId="16" fillId="8" borderId="0" xfId="0" applyFont="1" applyFill="1" applyAlignment="1">
      <alignment horizontal="center"/>
    </xf>
    <xf numFmtId="0" fontId="16" fillId="8" borderId="0" xfId="0" applyFont="1" applyFill="1"/>
  </cellXfs>
  <cellStyles count="2">
    <cellStyle name="Normal" xfId="0" builtinId="0"/>
    <cellStyle name="Normale 2" xfId="1" xr:uid="{00000000-0005-0000-0000-000001000000}"/>
  </cellStyles>
  <dxfs count="0"/>
  <tableStyles count="1" defaultTableStyle="Stile tabella 1" defaultPivotStyle="PivotStyleLight16">
    <tableStyle name="Stile tabella 1" pivot="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GB" sz="1400" b="0" i="0" u="none" strike="noStrike" kern="1200" spc="0" baseline="0">
                <a:solidFill>
                  <a:schemeClr val="tx1">
                    <a:lumMod val="65000"/>
                    <a:lumOff val="35000"/>
                  </a:schemeClr>
                </a:solidFill>
                <a:latin typeface="+mn-lt"/>
                <a:ea typeface="+mn-ea"/>
                <a:cs typeface="+mn-cs"/>
              </a:defRPr>
            </a:pPr>
            <a:r>
              <a:rPr lang="it-IT"/>
              <a:t>Constant term estimation</a:t>
            </a:r>
          </a:p>
        </c:rich>
      </c:tx>
      <c:overlay val="0"/>
      <c:spPr>
        <a:noFill/>
        <a:ln w="25400">
          <a:noFill/>
        </a:ln>
      </c:spPr>
    </c:title>
    <c:autoTitleDeleted val="0"/>
    <c:plotArea>
      <c:layout>
        <c:manualLayout>
          <c:layoutTarget val="inner"/>
          <c:xMode val="edge"/>
          <c:yMode val="edge"/>
          <c:x val="0.1059941932462638"/>
          <c:y val="0.2272803493331769"/>
          <c:w val="0.80878177890083891"/>
          <c:h val="0.62628362927364301"/>
        </c:manualLayout>
      </c:layout>
      <c:scatterChart>
        <c:scatterStyle val="smoothMarker"/>
        <c:varyColors val="0"/>
        <c:ser>
          <c:idx val="0"/>
          <c:order val="0"/>
          <c:tx>
            <c:v>Maximum likelihood</c:v>
          </c:tx>
          <c:spPr>
            <a:ln w="19050" cap="rnd">
              <a:solidFill>
                <a:schemeClr val="accent1"/>
              </a:solidFill>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7"/>
              <c:pt idx="0">
                <c:v>0.10236462950706482</c:v>
              </c:pt>
              <c:pt idx="1">
                <c:v>9.8138906061649323E-2</c:v>
              </c:pt>
              <c:pt idx="2">
                <c:v>9.7428254783153534E-2</c:v>
              </c:pt>
              <c:pt idx="3">
                <c:v>0.11481229960918427</c:v>
              </c:pt>
              <c:pt idx="4">
                <c:v>0.14930111169815063</c:v>
              </c:pt>
              <c:pt idx="5">
                <c:v>0.16694246232509613</c:v>
              </c:pt>
              <c:pt idx="6">
                <c:v>0.19957318902015686</c:v>
              </c:pt>
              <c:pt idx="7">
                <c:v>0.22421459853649139</c:v>
              </c:pt>
              <c:pt idx="8">
                <c:v>0.2493581622838974</c:v>
              </c:pt>
              <c:pt idx="9">
                <c:v>0.27360066771507263</c:v>
              </c:pt>
              <c:pt idx="10">
                <c:v>0.30223134160041809</c:v>
              </c:pt>
              <c:pt idx="11">
                <c:v>0.32552611827850342</c:v>
              </c:pt>
              <c:pt idx="12">
                <c:v>0.34755802154541016</c:v>
              </c:pt>
              <c:pt idx="13">
                <c:v>0.37172329425811768</c:v>
              </c:pt>
              <c:pt idx="14">
                <c:v>0.399025559425354</c:v>
              </c:pt>
              <c:pt idx="15">
                <c:v>0.42574459314346313</c:v>
              </c:pt>
              <c:pt idx="16">
                <c:v>0.44999009370803833</c:v>
              </c:pt>
            </c:numLit>
          </c:yVal>
          <c:smooth val="1"/>
          <c:extLst>
            <c:ext xmlns:c16="http://schemas.microsoft.com/office/drawing/2014/chart" uri="{C3380CC4-5D6E-409C-BE32-E72D297353CC}">
              <c16:uniqueId val="{00000000-B430-40AD-9285-A8E2A3CE552E}"/>
            </c:ext>
          </c:extLst>
        </c:ser>
        <c:ser>
          <c:idx val="1"/>
          <c:order val="1"/>
          <c:tx>
            <c:v>True n value</c:v>
          </c:tx>
          <c:spPr>
            <a:ln w="19050" cap="rnd">
              <a:solidFill>
                <a:schemeClr val="accent2"/>
              </a:solidFill>
              <a:prstDash val="sysDash"/>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yVal>
          <c:smooth val="1"/>
          <c:extLst>
            <c:ext xmlns:c16="http://schemas.microsoft.com/office/drawing/2014/chart" uri="{C3380CC4-5D6E-409C-BE32-E72D297353CC}">
              <c16:uniqueId val="{00000001-B430-40AD-9285-A8E2A3CE552E}"/>
            </c:ext>
          </c:extLst>
        </c:ser>
        <c:ser>
          <c:idx val="2"/>
          <c:order val="2"/>
          <c:tx>
            <c:v>Least squares</c:v>
          </c:tx>
          <c:spPr>
            <a:ln w="19050" cap="rnd">
              <a:solidFill>
                <a:schemeClr val="accent3"/>
              </a:solidFill>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7"/>
              <c:pt idx="0">
                <c:v>0.25459852814674377</c:v>
              </c:pt>
              <c:pt idx="1">
                <c:v>0.25189384818077087</c:v>
              </c:pt>
              <c:pt idx="2">
                <c:v>0.25067323446273804</c:v>
              </c:pt>
              <c:pt idx="3">
                <c:v>0.24847830832004547</c:v>
              </c:pt>
              <c:pt idx="4">
                <c:v>0.24784907698631287</c:v>
              </c:pt>
              <c:pt idx="5">
                <c:v>0.24742639064788818</c:v>
              </c:pt>
              <c:pt idx="6">
                <c:v>0.24940209090709686</c:v>
              </c:pt>
              <c:pt idx="7">
                <c:v>0.25558239221572876</c:v>
              </c:pt>
              <c:pt idx="8">
                <c:v>0.26786196231842041</c:v>
              </c:pt>
              <c:pt idx="9">
                <c:v>0.28411760926246643</c:v>
              </c:pt>
              <c:pt idx="10">
                <c:v>0.30637630820274353</c:v>
              </c:pt>
              <c:pt idx="11">
                <c:v>0.32652008533477783</c:v>
              </c:pt>
              <c:pt idx="12">
                <c:v>0.34697103500366211</c:v>
              </c:pt>
              <c:pt idx="13">
                <c:v>0.37014627456665039</c:v>
              </c:pt>
              <c:pt idx="14">
                <c:v>0.39688658714294434</c:v>
              </c:pt>
              <c:pt idx="15">
                <c:v>0.42317658662796021</c:v>
              </c:pt>
              <c:pt idx="16">
                <c:v>0.44754409790039063</c:v>
              </c:pt>
            </c:numLit>
          </c:yVal>
          <c:smooth val="1"/>
          <c:extLst>
            <c:ext xmlns:c16="http://schemas.microsoft.com/office/drawing/2014/chart" uri="{C3380CC4-5D6E-409C-BE32-E72D297353CC}">
              <c16:uniqueId val="{00000002-B430-40AD-9285-A8E2A3CE552E}"/>
            </c:ext>
          </c:extLst>
        </c:ser>
        <c:dLbls>
          <c:showLegendKey val="0"/>
          <c:showVal val="0"/>
          <c:showCatName val="0"/>
          <c:showSerName val="0"/>
          <c:showPercent val="0"/>
          <c:showBubbleSize val="0"/>
        </c:dLbls>
        <c:axId val="18943711"/>
        <c:axId val="1"/>
      </c:scatterChart>
      <c:valAx>
        <c:axId val="18943711"/>
        <c:scaling>
          <c:orientation val="minMax"/>
          <c:max val="0.5"/>
        </c:scaling>
        <c:delete val="0"/>
        <c:axPos val="b"/>
        <c:title>
          <c:tx>
            <c:rich>
              <a:bodyPr rot="0" spcFirstLastPara="1" vertOverflow="ellipsis" vert="horz" wrap="square" anchor="ctr" anchorCtr="1"/>
              <a:lstStyle/>
              <a:p>
                <a:pPr>
                  <a:defRPr lang="en-GB" sz="1000" b="1" i="0" u="none" strike="noStrike" kern="1200" baseline="0">
                    <a:solidFill>
                      <a:schemeClr val="tx1">
                        <a:lumMod val="65000"/>
                        <a:lumOff val="35000"/>
                      </a:schemeClr>
                    </a:solidFill>
                    <a:latin typeface="+mn-lt"/>
                    <a:ea typeface="+mn-ea"/>
                    <a:cs typeface="+mn-cs"/>
                  </a:defRPr>
                </a:pPr>
                <a:r>
                  <a:rPr lang="en-US" b="1"/>
                  <a:t>True n value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max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GB" sz="900" b="0" i="0" u="none" strike="noStrike" kern="1200" baseline="0">
                <a:solidFill>
                  <a:schemeClr val="tx1">
                    <a:lumMod val="65000"/>
                    <a:lumOff val="35000"/>
                  </a:schemeClr>
                </a:solidFill>
                <a:latin typeface="+mn-lt"/>
                <a:ea typeface="+mn-ea"/>
                <a:cs typeface="+mn-cs"/>
              </a:defRPr>
            </a:pPr>
            <a:endParaRPr lang="en-US"/>
          </a:p>
        </c:txPr>
        <c:crossAx val="18943711"/>
        <c:crosses val="autoZero"/>
        <c:crossBetween val="midCat"/>
      </c:valAx>
      <c:spPr>
        <a:noFill/>
        <a:ln w="25400">
          <a:noFill/>
        </a:ln>
      </c:spPr>
    </c:plotArea>
    <c:legend>
      <c:legendPos val="r"/>
      <c:layout>
        <c:manualLayout>
          <c:xMode val="edge"/>
          <c:yMode val="edge"/>
          <c:x val="0.49079919916204756"/>
          <c:y val="0.64143565256252133"/>
          <c:w val="0.49079919916204756"/>
          <c:h val="0.14646955845915843"/>
        </c:manualLayout>
      </c:layout>
      <c:overlay val="0"/>
      <c:spPr>
        <a:solidFill>
          <a:schemeClr val="bg1">
            <a:lumMod val="95000"/>
          </a:schemeClr>
        </a:solidFill>
        <a:ln>
          <a:noFill/>
        </a:ln>
        <a:effectLst/>
      </c:spPr>
      <c:txPr>
        <a:bodyPr rot="0" spcFirstLastPara="1" vertOverflow="ellipsis" vert="horz" wrap="square" anchor="ctr" anchorCtr="1"/>
        <a:lstStyle/>
        <a:p>
          <a:pPr>
            <a:defRPr lang="en-GB"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GB" sz="1400" b="0" i="0" u="none" strike="noStrike" kern="1200" spc="0" baseline="0">
                <a:solidFill>
                  <a:schemeClr val="tx1">
                    <a:lumMod val="65000"/>
                    <a:lumOff val="35000"/>
                  </a:schemeClr>
                </a:solidFill>
                <a:latin typeface="+mn-lt"/>
                <a:ea typeface="+mn-ea"/>
                <a:cs typeface="+mn-cs"/>
              </a:defRPr>
            </a:pPr>
            <a:r>
              <a:rPr lang="it-IT"/>
              <a:t>Coefficient estimation</a:t>
            </a:r>
          </a:p>
        </c:rich>
      </c:tx>
      <c:overlay val="0"/>
      <c:spPr>
        <a:noFill/>
        <a:ln w="25400">
          <a:noFill/>
        </a:ln>
      </c:spPr>
    </c:title>
    <c:autoTitleDeleted val="0"/>
    <c:plotArea>
      <c:layout>
        <c:manualLayout>
          <c:layoutTarget val="inner"/>
          <c:xMode val="edge"/>
          <c:yMode val="edge"/>
          <c:x val="0.13605873087467049"/>
          <c:y val="0.2233574766940602"/>
          <c:w val="0.83676119487922362"/>
          <c:h val="0.64215274549542301"/>
        </c:manualLayout>
      </c:layout>
      <c:scatterChart>
        <c:scatterStyle val="smoothMarker"/>
        <c:varyColors val="0"/>
        <c:ser>
          <c:idx val="0"/>
          <c:order val="0"/>
          <c:tx>
            <c:v>Maximum likelihood</c:v>
          </c:tx>
          <c:spPr>
            <a:ln w="19050" cap="rnd">
              <a:solidFill>
                <a:schemeClr val="accent1"/>
              </a:solidFill>
              <a:round/>
            </a:ln>
            <a:effectLst/>
          </c:spPr>
          <c:marker>
            <c:symbol val="none"/>
          </c:marker>
          <c:xVal>
            <c:numLit>
              <c:formatCode>General</c:formatCode>
              <c:ptCount val="16"/>
              <c:pt idx="0">
                <c:v>5.0000000745057997E-2</c:v>
              </c:pt>
              <c:pt idx="1">
                <c:v>7.5000002980232197E-2</c:v>
              </c:pt>
              <c:pt idx="2">
                <c:v>0.10000000149011599</c:v>
              </c:pt>
              <c:pt idx="3">
                <c:v>0.125</c:v>
              </c:pt>
              <c:pt idx="4">
                <c:v>0.15000000596046401</c:v>
              </c:pt>
              <c:pt idx="5">
                <c:v>0.17499999701976701</c:v>
              </c:pt>
              <c:pt idx="6">
                <c:v>0.20000000298023199</c:v>
              </c:pt>
              <c:pt idx="7">
                <c:v>0.224999994039535</c:v>
              </c:pt>
              <c:pt idx="8">
                <c:v>0.25</c:v>
              </c:pt>
              <c:pt idx="9">
                <c:v>0.27500000596046398</c:v>
              </c:pt>
              <c:pt idx="10">
                <c:v>0.30000001192092901</c:v>
              </c:pt>
              <c:pt idx="11">
                <c:v>0.32499998807907099</c:v>
              </c:pt>
              <c:pt idx="12">
                <c:v>0.34999999403953502</c:v>
              </c:pt>
              <c:pt idx="13">
                <c:v>0.375</c:v>
              </c:pt>
              <c:pt idx="14">
                <c:v>0.40000000596046398</c:v>
              </c:pt>
              <c:pt idx="15">
                <c:v>0.42500001192092901</c:v>
              </c:pt>
            </c:numLit>
          </c:xVal>
          <c:yVal>
            <c:numLit>
              <c:formatCode>General</c:formatCode>
              <c:ptCount val="16"/>
              <c:pt idx="0">
                <c:v>2.5240315590053801E-3</c:v>
              </c:pt>
              <c:pt idx="1">
                <c:v>2.8018869925290298E-3</c:v>
              </c:pt>
              <c:pt idx="2">
                <c:v>3.01821087487041E-3</c:v>
              </c:pt>
              <c:pt idx="3">
                <c:v>3.1903202179819302E-3</c:v>
              </c:pt>
              <c:pt idx="4">
                <c:v>3.1078485772013599E-3</c:v>
              </c:pt>
              <c:pt idx="5">
                <c:v>3.1616294290870402E-3</c:v>
              </c:pt>
              <c:pt idx="6">
                <c:v>2.9712996911257501E-3</c:v>
              </c:pt>
              <c:pt idx="7">
                <c:v>3.0571480747312299E-3</c:v>
              </c:pt>
              <c:pt idx="8">
                <c:v>3.0051665380597102E-3</c:v>
              </c:pt>
              <c:pt idx="9">
                <c:v>2.94620357453823E-3</c:v>
              </c:pt>
              <c:pt idx="10">
                <c:v>2.9595002997666602E-3</c:v>
              </c:pt>
              <c:pt idx="11">
                <c:v>3.0293560121208399E-3</c:v>
              </c:pt>
              <c:pt idx="12">
                <c:v>3.05817951448261E-3</c:v>
              </c:pt>
              <c:pt idx="13">
                <c:v>3.0304829124361199E-3</c:v>
              </c:pt>
              <c:pt idx="14">
                <c:v>2.9082146938890201E-3</c:v>
              </c:pt>
              <c:pt idx="15">
                <c:v>3.1929872930049801E-3</c:v>
              </c:pt>
            </c:numLit>
          </c:yVal>
          <c:smooth val="1"/>
          <c:extLst>
            <c:ext xmlns:c16="http://schemas.microsoft.com/office/drawing/2014/chart" uri="{C3380CC4-5D6E-409C-BE32-E72D297353CC}">
              <c16:uniqueId val="{00000000-3DD8-46F4-A4FD-2EA1B0C61603}"/>
            </c:ext>
          </c:extLst>
        </c:ser>
        <c:ser>
          <c:idx val="1"/>
          <c:order val="1"/>
          <c:tx>
            <c:v>True m value</c:v>
          </c:tx>
          <c:spPr>
            <a:ln w="19050" cap="rnd">
              <a:solidFill>
                <a:schemeClr val="accent2"/>
              </a:solidFill>
              <a:prstDash val="sysDash"/>
              <a:round/>
            </a:ln>
            <a:effectLst/>
          </c:spPr>
          <c:marker>
            <c:symbol val="none"/>
          </c:marker>
          <c:xVal>
            <c:numLit>
              <c:formatCode>General</c:formatCode>
              <c:ptCount val="16"/>
              <c:pt idx="0">
                <c:v>5.0000000745057997E-2</c:v>
              </c:pt>
              <c:pt idx="1">
                <c:v>7.5000002980232197E-2</c:v>
              </c:pt>
              <c:pt idx="2">
                <c:v>0.10000000149011599</c:v>
              </c:pt>
              <c:pt idx="3">
                <c:v>0.125</c:v>
              </c:pt>
              <c:pt idx="4">
                <c:v>0.15000000596046401</c:v>
              </c:pt>
              <c:pt idx="5">
                <c:v>0.17499999701976701</c:v>
              </c:pt>
              <c:pt idx="6">
                <c:v>0.20000000298023199</c:v>
              </c:pt>
              <c:pt idx="7">
                <c:v>0.224999994039535</c:v>
              </c:pt>
              <c:pt idx="8">
                <c:v>0.25</c:v>
              </c:pt>
              <c:pt idx="9">
                <c:v>0.27500000596046398</c:v>
              </c:pt>
              <c:pt idx="10">
                <c:v>0.30000001192092901</c:v>
              </c:pt>
              <c:pt idx="11">
                <c:v>0.32499998807907099</c:v>
              </c:pt>
              <c:pt idx="12">
                <c:v>0.34999999403953502</c:v>
              </c:pt>
              <c:pt idx="13">
                <c:v>0.375</c:v>
              </c:pt>
              <c:pt idx="14">
                <c:v>0.40000000596046398</c:v>
              </c:pt>
              <c:pt idx="15">
                <c:v>0.42500001192092901</c:v>
              </c:pt>
            </c:numLit>
          </c:xVal>
          <c:yVal>
            <c:numLit>
              <c:formatCode>General</c:formatCode>
              <c:ptCount val="16"/>
              <c:pt idx="0">
                <c:v>3.0000000260770299E-3</c:v>
              </c:pt>
              <c:pt idx="1">
                <c:v>3.0000000260770299E-3</c:v>
              </c:pt>
              <c:pt idx="2">
                <c:v>3.0000000260770299E-3</c:v>
              </c:pt>
              <c:pt idx="3">
                <c:v>3.0000000260770299E-3</c:v>
              </c:pt>
              <c:pt idx="4">
                <c:v>3.0000000260770299E-3</c:v>
              </c:pt>
              <c:pt idx="5">
                <c:v>3.0000000260770299E-3</c:v>
              </c:pt>
              <c:pt idx="6">
                <c:v>3.0000000260770299E-3</c:v>
              </c:pt>
              <c:pt idx="7">
                <c:v>3.0000000260770299E-3</c:v>
              </c:pt>
              <c:pt idx="8">
                <c:v>3.0000000260770299E-3</c:v>
              </c:pt>
              <c:pt idx="9">
                <c:v>3.0000000260770299E-3</c:v>
              </c:pt>
              <c:pt idx="10">
                <c:v>3.0000000260770299E-3</c:v>
              </c:pt>
              <c:pt idx="11">
                <c:v>3.0000000260770299E-3</c:v>
              </c:pt>
              <c:pt idx="12">
                <c:v>3.0000000260770299E-3</c:v>
              </c:pt>
              <c:pt idx="13">
                <c:v>3.0000000260770299E-3</c:v>
              </c:pt>
              <c:pt idx="14">
                <c:v>3.0000000260770299E-3</c:v>
              </c:pt>
              <c:pt idx="15">
                <c:v>3.0000000260770299E-3</c:v>
              </c:pt>
            </c:numLit>
          </c:yVal>
          <c:smooth val="1"/>
          <c:extLst>
            <c:ext xmlns:c16="http://schemas.microsoft.com/office/drawing/2014/chart" uri="{C3380CC4-5D6E-409C-BE32-E72D297353CC}">
              <c16:uniqueId val="{00000001-3DD8-46F4-A4FD-2EA1B0C61603}"/>
            </c:ext>
          </c:extLst>
        </c:ser>
        <c:ser>
          <c:idx val="2"/>
          <c:order val="2"/>
          <c:tx>
            <c:v>Least squares</c:v>
          </c:tx>
          <c:spPr>
            <a:ln w="19050" cap="rnd">
              <a:solidFill>
                <a:schemeClr val="accent3"/>
              </a:solidFill>
              <a:round/>
            </a:ln>
            <a:effectLst/>
          </c:spPr>
          <c:marker>
            <c:symbol val="none"/>
          </c:marker>
          <c:xVal>
            <c:numLit>
              <c:formatCode>General</c:formatCode>
              <c:ptCount val="16"/>
              <c:pt idx="0">
                <c:v>5.0000000745057997E-2</c:v>
              </c:pt>
              <c:pt idx="1">
                <c:v>7.5000002980232197E-2</c:v>
              </c:pt>
              <c:pt idx="2">
                <c:v>0.10000000149011599</c:v>
              </c:pt>
              <c:pt idx="3">
                <c:v>0.125</c:v>
              </c:pt>
              <c:pt idx="4">
                <c:v>0.15000000596046401</c:v>
              </c:pt>
              <c:pt idx="5">
                <c:v>0.17499999701976701</c:v>
              </c:pt>
              <c:pt idx="6">
                <c:v>0.20000000298023199</c:v>
              </c:pt>
              <c:pt idx="7">
                <c:v>0.224999994039535</c:v>
              </c:pt>
              <c:pt idx="8">
                <c:v>0.25</c:v>
              </c:pt>
              <c:pt idx="9">
                <c:v>0.27500000596046398</c:v>
              </c:pt>
              <c:pt idx="10">
                <c:v>0.30000001192092901</c:v>
              </c:pt>
              <c:pt idx="11">
                <c:v>0.32499998807907099</c:v>
              </c:pt>
              <c:pt idx="12">
                <c:v>0.34999999403953502</c:v>
              </c:pt>
              <c:pt idx="13">
                <c:v>0.375</c:v>
              </c:pt>
              <c:pt idx="14">
                <c:v>0.40000000596046398</c:v>
              </c:pt>
              <c:pt idx="15">
                <c:v>0.42500001192092901</c:v>
              </c:pt>
            </c:numLit>
          </c:xVal>
          <c:yVal>
            <c:numLit>
              <c:formatCode>General</c:formatCode>
              <c:ptCount val="16"/>
              <c:pt idx="0">
                <c:v>5.72559831198305E-4</c:v>
              </c:pt>
              <c:pt idx="1">
                <c:v>7.8367016976699201E-4</c:v>
              </c:pt>
              <c:pt idx="2">
                <c:v>8.8461022824048996E-4</c:v>
              </c:pt>
              <c:pt idx="3">
                <c:v>1.2305703712627201E-3</c:v>
              </c:pt>
              <c:pt idx="4">
                <c:v>1.5131699619814699E-3</c:v>
              </c:pt>
              <c:pt idx="5">
                <c:v>1.8589386017992999E-3</c:v>
              </c:pt>
              <c:pt idx="6">
                <c:v>2.2348074708133901E-3</c:v>
              </c:pt>
              <c:pt idx="7">
                <c:v>2.5611573364585599E-3</c:v>
              </c:pt>
              <c:pt idx="8">
                <c:v>2.7750674635171799E-3</c:v>
              </c:pt>
              <c:pt idx="9">
                <c:v>2.9562178533524201E-3</c:v>
              </c:pt>
              <c:pt idx="10">
                <c:v>2.8745576273649901E-3</c:v>
              </c:pt>
              <c:pt idx="11">
                <c:v>3.0190979596227399E-3</c:v>
              </c:pt>
              <c:pt idx="12">
                <c:v>2.9766978695988599E-3</c:v>
              </c:pt>
              <c:pt idx="13">
                <c:v>3.0748983845114699E-3</c:v>
              </c:pt>
              <c:pt idx="14">
                <c:v>2.9977883677929601E-3</c:v>
              </c:pt>
              <c:pt idx="15">
                <c:v>2.9842886142432599E-3</c:v>
              </c:pt>
            </c:numLit>
          </c:yVal>
          <c:smooth val="1"/>
          <c:extLst>
            <c:ext xmlns:c16="http://schemas.microsoft.com/office/drawing/2014/chart" uri="{C3380CC4-5D6E-409C-BE32-E72D297353CC}">
              <c16:uniqueId val="{00000002-3DD8-46F4-A4FD-2EA1B0C61603}"/>
            </c:ext>
          </c:extLst>
        </c:ser>
        <c:dLbls>
          <c:showLegendKey val="0"/>
          <c:showVal val="0"/>
          <c:showCatName val="0"/>
          <c:showSerName val="0"/>
          <c:showPercent val="0"/>
          <c:showBubbleSize val="0"/>
        </c:dLbls>
        <c:axId val="18973951"/>
        <c:axId val="1"/>
      </c:scatterChart>
      <c:valAx>
        <c:axId val="18973951"/>
        <c:scaling>
          <c:orientation val="minMax"/>
        </c:scaling>
        <c:delete val="0"/>
        <c:axPos val="b"/>
        <c:title>
          <c:tx>
            <c:rich>
              <a:bodyPr rot="0" spcFirstLastPara="1" vertOverflow="ellipsis" vert="horz" wrap="square" anchor="ctr" anchorCtr="1"/>
              <a:lstStyle/>
              <a:p>
                <a:pPr>
                  <a:defRPr lang="en-GB" sz="1000" b="1" i="0" u="none" strike="noStrike" kern="1200" baseline="0">
                    <a:solidFill>
                      <a:schemeClr val="tx1">
                        <a:lumMod val="65000"/>
                        <a:lumOff val="35000"/>
                      </a:schemeClr>
                    </a:solidFill>
                    <a:latin typeface="+mn-lt"/>
                    <a:ea typeface="+mn-ea"/>
                    <a:cs typeface="+mn-cs"/>
                  </a:defRPr>
                </a:pPr>
                <a:r>
                  <a:rPr lang="en-US" b="1"/>
                  <a:t>True n value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max val="4.0000000000000018E-3"/>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GB" sz="900" b="0" i="0" u="none" strike="noStrike" kern="1200" baseline="0">
                <a:solidFill>
                  <a:schemeClr val="tx1">
                    <a:lumMod val="65000"/>
                    <a:lumOff val="35000"/>
                  </a:schemeClr>
                </a:solidFill>
                <a:latin typeface="+mn-lt"/>
                <a:ea typeface="+mn-ea"/>
                <a:cs typeface="+mn-cs"/>
              </a:defRPr>
            </a:pPr>
            <a:endParaRPr lang="en-US"/>
          </a:p>
        </c:txPr>
        <c:crossAx val="18973951"/>
        <c:crosses val="autoZero"/>
        <c:crossBetween val="midCat"/>
      </c:valAx>
      <c:spPr>
        <a:noFill/>
        <a:ln w="25400">
          <a:noFill/>
        </a:ln>
      </c:spPr>
    </c:plotArea>
    <c:legend>
      <c:legendPos val="r"/>
      <c:layout>
        <c:manualLayout>
          <c:xMode val="edge"/>
          <c:yMode val="edge"/>
          <c:x val="0.48074084909050246"/>
          <c:y val="0.63961459235117224"/>
          <c:w val="0.49207907666339157"/>
          <c:h val="0.14213657607803828"/>
        </c:manualLayout>
      </c:layout>
      <c:overlay val="0"/>
      <c:spPr>
        <a:solidFill>
          <a:schemeClr val="bg1">
            <a:lumMod val="95000"/>
          </a:schemeClr>
        </a:solidFill>
        <a:ln>
          <a:noFill/>
        </a:ln>
        <a:effectLst/>
      </c:spPr>
      <c:txPr>
        <a:bodyPr rot="0" spcFirstLastPara="1" vertOverflow="ellipsis" vert="horz" wrap="square" anchor="ctr" anchorCtr="1"/>
        <a:lstStyle/>
        <a:p>
          <a:pPr>
            <a:defRPr lang="en-GB"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GB" sz="1400" b="0" i="0" u="none" strike="noStrike" kern="1200" spc="0" baseline="0">
                <a:solidFill>
                  <a:schemeClr val="tx1">
                    <a:lumMod val="65000"/>
                    <a:lumOff val="35000"/>
                  </a:schemeClr>
                </a:solidFill>
                <a:latin typeface="+mn-lt"/>
                <a:ea typeface="+mn-ea"/>
                <a:cs typeface="+mn-cs"/>
              </a:defRPr>
            </a:pPr>
            <a:r>
              <a:rPr lang="it-IT"/>
              <a:t>Log aperture</a:t>
            </a:r>
            <a:r>
              <a:rPr lang="it-IT" baseline="0"/>
              <a:t> st. devi</a:t>
            </a:r>
            <a:r>
              <a:rPr lang="it-IT"/>
              <a:t>ation</a:t>
            </a:r>
          </a:p>
        </c:rich>
      </c:tx>
      <c:overlay val="0"/>
      <c:spPr>
        <a:noFill/>
        <a:ln w="25400">
          <a:noFill/>
        </a:ln>
      </c:spPr>
    </c:title>
    <c:autoTitleDeleted val="0"/>
    <c:plotArea>
      <c:layout>
        <c:manualLayout>
          <c:layoutTarget val="inner"/>
          <c:xMode val="edge"/>
          <c:yMode val="edge"/>
          <c:x val="4.6084431846201653E-2"/>
          <c:y val="0.22532387750010618"/>
          <c:w val="0.86408309711628095"/>
          <c:h val="0.63040051120816221"/>
        </c:manualLayout>
      </c:layout>
      <c:scatterChart>
        <c:scatterStyle val="smoothMarker"/>
        <c:varyColors val="0"/>
        <c:ser>
          <c:idx val="0"/>
          <c:order val="0"/>
          <c:tx>
            <c:v>Maximum likelihood</c:v>
          </c:tx>
          <c:spPr>
            <a:ln w="19050" cap="rnd">
              <a:solidFill>
                <a:schemeClr val="accent1"/>
              </a:solidFill>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7"/>
              <c:pt idx="0">
                <c:v>0.12536470592021942</c:v>
              </c:pt>
              <c:pt idx="1">
                <c:v>0.13161729276180267</c:v>
              </c:pt>
              <c:pt idx="2">
                <c:v>0.17024967074394226</c:v>
              </c:pt>
              <c:pt idx="3">
                <c:v>0.17699652910232544</c:v>
              </c:pt>
              <c:pt idx="4">
                <c:v>0.17069640755653381</c:v>
              </c:pt>
              <c:pt idx="5">
                <c:v>0.17210519313812256</c:v>
              </c:pt>
              <c:pt idx="6">
                <c:v>0.1875603049993515</c:v>
              </c:pt>
              <c:pt idx="7">
                <c:v>0.18549072742462158</c:v>
              </c:pt>
              <c:pt idx="8">
                <c:v>0.1933063268661499</c:v>
              </c:pt>
              <c:pt idx="9">
                <c:v>0.19590240716934204</c:v>
              </c:pt>
              <c:pt idx="10">
                <c:v>0.19338539242744446</c:v>
              </c:pt>
              <c:pt idx="11">
                <c:v>0.19242620468139648</c:v>
              </c:pt>
              <c:pt idx="12">
                <c:v>0.19006358087062836</c:v>
              </c:pt>
              <c:pt idx="13">
                <c:v>0.18951238691806793</c:v>
              </c:pt>
              <c:pt idx="14">
                <c:v>0.18776910006999969</c:v>
              </c:pt>
              <c:pt idx="15">
                <c:v>0.1863945871591568</c:v>
              </c:pt>
              <c:pt idx="16">
                <c:v>0.19363760948181152</c:v>
              </c:pt>
            </c:numLit>
          </c:yVal>
          <c:smooth val="1"/>
          <c:extLst>
            <c:ext xmlns:c16="http://schemas.microsoft.com/office/drawing/2014/chart" uri="{C3380CC4-5D6E-409C-BE32-E72D297353CC}">
              <c16:uniqueId val="{00000000-3A9C-4493-8C11-8F955116B5FC}"/>
            </c:ext>
          </c:extLst>
        </c:ser>
        <c:ser>
          <c:idx val="1"/>
          <c:order val="1"/>
          <c:tx>
            <c:v>True d value</c:v>
          </c:tx>
          <c:spPr>
            <a:ln w="22225" cap="rnd">
              <a:solidFill>
                <a:schemeClr val="accent2"/>
              </a:solidFill>
              <a:prstDash val="sysDash"/>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numLit>
          </c:yVal>
          <c:smooth val="1"/>
          <c:extLst>
            <c:ext xmlns:c16="http://schemas.microsoft.com/office/drawing/2014/chart" uri="{C3380CC4-5D6E-409C-BE32-E72D297353CC}">
              <c16:uniqueId val="{00000001-3A9C-4493-8C11-8F955116B5FC}"/>
            </c:ext>
          </c:extLst>
        </c:ser>
        <c:ser>
          <c:idx val="2"/>
          <c:order val="2"/>
          <c:tx>
            <c:v>Least squares</c:v>
          </c:tx>
          <c:spPr>
            <a:ln w="19050" cap="rnd">
              <a:solidFill>
                <a:schemeClr val="accent3"/>
              </a:solidFill>
              <a:round/>
            </a:ln>
            <a:effectLst/>
          </c:spPr>
          <c:marker>
            <c:symbol val="none"/>
          </c:marker>
          <c:xVal>
            <c:numLit>
              <c:formatCode>General</c:formatCode>
              <c:ptCount val="17"/>
              <c:pt idx="0">
                <c:v>5.000000074505806E-2</c:v>
              </c:pt>
              <c:pt idx="1">
                <c:v>7.5000002980232239E-2</c:v>
              </c:pt>
              <c:pt idx="2">
                <c:v>0.10000000149011612</c:v>
              </c:pt>
              <c:pt idx="3">
                <c:v>0.125</c:v>
              </c:pt>
              <c:pt idx="4">
                <c:v>0.15000000596046448</c:v>
              </c:pt>
              <c:pt idx="5">
                <c:v>0.17499999701976776</c:v>
              </c:pt>
              <c:pt idx="6">
                <c:v>0.20000000298023224</c:v>
              </c:pt>
              <c:pt idx="7">
                <c:v>0.22499999403953552</c:v>
              </c:pt>
              <c:pt idx="8">
                <c:v>0.25</c:v>
              </c:pt>
              <c:pt idx="9">
                <c:v>0.27500000596046448</c:v>
              </c:pt>
              <c:pt idx="10">
                <c:v>0.30000001192092896</c:v>
              </c:pt>
              <c:pt idx="11">
                <c:v>0.32499998807907104</c:v>
              </c:pt>
              <c:pt idx="12">
                <c:v>0.34999999403953552</c:v>
              </c:pt>
              <c:pt idx="13">
                <c:v>0.375</c:v>
              </c:pt>
              <c:pt idx="14">
                <c:v>0.40000000596046448</c:v>
              </c:pt>
              <c:pt idx="15">
                <c:v>0.42500001192092896</c:v>
              </c:pt>
              <c:pt idx="16">
                <c:v>0.44999998807907104</c:v>
              </c:pt>
            </c:numLit>
          </c:xVal>
          <c:yVal>
            <c:numLit>
              <c:formatCode>General</c:formatCode>
              <c:ptCount val="17"/>
              <c:pt idx="0">
                <c:v>7.7019304037094116E-2</c:v>
              </c:pt>
              <c:pt idx="1">
                <c:v>8.8135451078414917E-2</c:v>
              </c:pt>
              <c:pt idx="2">
                <c:v>9.9765919148921967E-2</c:v>
              </c:pt>
              <c:pt idx="3">
                <c:v>0.10953816771507263</c:v>
              </c:pt>
              <c:pt idx="4">
                <c:v>0.11286147683858871</c:v>
              </c:pt>
              <c:pt idx="5">
                <c:v>0.11781781166791916</c:v>
              </c:pt>
              <c:pt idx="6">
                <c:v>0.13652509450912476</c:v>
              </c:pt>
              <c:pt idx="7">
                <c:v>0.14889237284660339</c:v>
              </c:pt>
              <c:pt idx="8">
                <c:v>0.16989538073539734</c:v>
              </c:pt>
              <c:pt idx="9">
                <c:v>0.18368187546730042</c:v>
              </c:pt>
              <c:pt idx="10">
                <c:v>0.19221971929073334</c:v>
              </c:pt>
              <c:pt idx="11">
                <c:v>0.19705799221992493</c:v>
              </c:pt>
              <c:pt idx="12">
                <c:v>0.19862273335456848</c:v>
              </c:pt>
              <c:pt idx="13">
                <c:v>0.20032671093940735</c:v>
              </c:pt>
              <c:pt idx="14">
                <c:v>0.20004062354564667</c:v>
              </c:pt>
              <c:pt idx="15">
                <c:v>0.1995173841714859</c:v>
              </c:pt>
              <c:pt idx="16">
                <c:v>0.20648083090782166</c:v>
              </c:pt>
            </c:numLit>
          </c:yVal>
          <c:smooth val="1"/>
          <c:extLst>
            <c:ext xmlns:c16="http://schemas.microsoft.com/office/drawing/2014/chart" uri="{C3380CC4-5D6E-409C-BE32-E72D297353CC}">
              <c16:uniqueId val="{00000002-3A9C-4493-8C11-8F955116B5FC}"/>
            </c:ext>
          </c:extLst>
        </c:ser>
        <c:dLbls>
          <c:showLegendKey val="0"/>
          <c:showVal val="0"/>
          <c:showCatName val="0"/>
          <c:showSerName val="0"/>
          <c:showPercent val="0"/>
          <c:showBubbleSize val="0"/>
        </c:dLbls>
        <c:axId val="4706575"/>
        <c:axId val="1"/>
      </c:scatterChart>
      <c:valAx>
        <c:axId val="4706575"/>
        <c:scaling>
          <c:orientation val="minMax"/>
          <c:max val="0.5"/>
        </c:scaling>
        <c:delete val="0"/>
        <c:axPos val="b"/>
        <c:title>
          <c:tx>
            <c:rich>
              <a:bodyPr rot="0" spcFirstLastPara="1" vertOverflow="ellipsis" vert="horz" wrap="square" anchor="ctr" anchorCtr="1"/>
              <a:lstStyle/>
              <a:p>
                <a:pPr>
                  <a:defRPr lang="en-GB" sz="1000" b="1" i="0" u="none" strike="noStrike" kern="1200" baseline="0">
                    <a:solidFill>
                      <a:schemeClr val="tx1">
                        <a:lumMod val="65000"/>
                        <a:lumOff val="35000"/>
                      </a:schemeClr>
                    </a:solidFill>
                    <a:latin typeface="+mn-lt"/>
                    <a:ea typeface="+mn-ea"/>
                    <a:cs typeface="+mn-cs"/>
                  </a:defRPr>
                </a:pPr>
                <a:r>
                  <a:rPr lang="en-US" b="1"/>
                  <a:t>True n value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max val="0.30000000000000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GB" sz="900" b="0" i="0" u="none" strike="noStrike" kern="1200" baseline="0">
                <a:solidFill>
                  <a:schemeClr val="tx1">
                    <a:lumMod val="65000"/>
                    <a:lumOff val="35000"/>
                  </a:schemeClr>
                </a:solidFill>
                <a:latin typeface="+mn-lt"/>
                <a:ea typeface="+mn-ea"/>
                <a:cs typeface="+mn-cs"/>
              </a:defRPr>
            </a:pPr>
            <a:endParaRPr lang="en-US"/>
          </a:p>
        </c:txPr>
        <c:crossAx val="4706575"/>
        <c:crosses val="autoZero"/>
        <c:crossBetween val="midCat"/>
      </c:valAx>
      <c:spPr>
        <a:noFill/>
        <a:ln w="25400">
          <a:noFill/>
        </a:ln>
      </c:spPr>
    </c:plotArea>
    <c:legend>
      <c:legendPos val="r"/>
      <c:layout>
        <c:manualLayout>
          <c:xMode val="edge"/>
          <c:yMode val="edge"/>
          <c:x val="0.47466964801587702"/>
          <c:y val="0.68863027730369519"/>
          <c:w val="0.49079919916204756"/>
          <c:h val="0.1468402797191703"/>
        </c:manualLayout>
      </c:layout>
      <c:overlay val="0"/>
      <c:spPr>
        <a:solidFill>
          <a:schemeClr val="bg1">
            <a:lumMod val="95000"/>
          </a:schemeClr>
        </a:solidFill>
        <a:ln>
          <a:noFill/>
        </a:ln>
        <a:effectLst/>
      </c:spPr>
      <c:txPr>
        <a:bodyPr rot="0" spcFirstLastPara="1" vertOverflow="ellipsis" vert="horz" wrap="square" anchor="ctr" anchorCtr="1"/>
        <a:lstStyle/>
        <a:p>
          <a:pPr>
            <a:defRPr lang="en-GB"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386862</xdr:colOff>
      <xdr:row>1</xdr:row>
      <xdr:rowOff>164123</xdr:rowOff>
    </xdr:from>
    <xdr:to>
      <xdr:col>13</xdr:col>
      <xdr:colOff>668867</xdr:colOff>
      <xdr:row>33</xdr:row>
      <xdr:rowOff>23446</xdr:rowOff>
    </xdr:to>
    <xdr:sp macro="" textlink="">
      <xdr:nvSpPr>
        <xdr:cNvPr id="2" name="TextBox 1">
          <a:extLst>
            <a:ext uri="{FF2B5EF4-FFF2-40B4-BE49-F238E27FC236}">
              <a16:creationId xmlns:a16="http://schemas.microsoft.com/office/drawing/2014/main" id="{9959734D-79F9-73E5-D350-02246DA979D6}"/>
            </a:ext>
          </a:extLst>
        </xdr:cNvPr>
        <xdr:cNvSpPr txBox="1"/>
      </xdr:nvSpPr>
      <xdr:spPr>
        <a:xfrm>
          <a:off x="386862" y="350390"/>
          <a:ext cx="14023405" cy="581985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200"/>
        </a:p>
        <a:p>
          <a:r>
            <a:rPr lang="en-GB" sz="1200"/>
            <a:t>Press</a:t>
          </a:r>
          <a:r>
            <a:rPr lang="en-GB" sz="1200" baseline="0"/>
            <a:t> [crtl]+[m] to run Monte Carlo simulations.</a:t>
          </a:r>
        </a:p>
        <a:p>
          <a:endParaRPr lang="en-GB" sz="1200" baseline="0"/>
        </a:p>
        <a:p>
          <a:r>
            <a:rPr lang="en-GB" sz="1200" baseline="0"/>
            <a:t>Routines in this spreadsheet:</a:t>
          </a:r>
        </a:p>
        <a:p>
          <a:pPr marL="342900" lvl="0" indent="-342900">
            <a:lnSpc>
              <a:spcPct val="115000"/>
            </a:lnSpc>
            <a:buFont typeface="Calibri" panose="020F0502020204030204" pitchFamily="34" charset="0"/>
            <a:buChar char="-"/>
          </a:pPr>
          <a:r>
            <a:rPr lang="en-GB" sz="1200" i="1">
              <a:effectLst/>
              <a:latin typeface="Calibri" panose="020F0502020204030204" pitchFamily="34" charset="0"/>
              <a:ea typeface="Calibri" panose="020F0502020204030204" pitchFamily="34" charset="0"/>
              <a:cs typeface="Times New Roman" panose="02020603050405020304" pitchFamily="18" charset="0"/>
            </a:rPr>
            <a:t>Sub Initialize_Apert_Data()</a:t>
          </a:r>
          <a:r>
            <a:rPr lang="en-GB" sz="1200" i="0">
              <a:effectLst/>
              <a:latin typeface="Calibri" panose="020F0502020204030204" pitchFamily="34" charset="0"/>
              <a:ea typeface="Calibri" panose="020F0502020204030204" pitchFamily="34" charset="0"/>
              <a:cs typeface="Times New Roman" panose="02020603050405020304" pitchFamily="18" charset="0"/>
            </a:rPr>
            <a:t>:</a:t>
          </a:r>
          <a:r>
            <a:rPr lang="en-GB" sz="1200" i="1">
              <a:effectLst/>
              <a:latin typeface="Calibri" panose="020F0502020204030204" pitchFamily="34" charset="0"/>
              <a:ea typeface="Calibri" panose="020F0502020204030204" pitchFamily="34" charset="0"/>
              <a:cs typeface="Times New Roman" panose="02020603050405020304" pitchFamily="18" charset="0"/>
            </a:rPr>
            <a:t> </a:t>
          </a:r>
          <a:r>
            <a:rPr lang="en-GB" sz="1200" i="0">
              <a:effectLst/>
              <a:latin typeface="Calibri" panose="020F0502020204030204" pitchFamily="34" charset="0"/>
              <a:ea typeface="Calibri" panose="020F0502020204030204" pitchFamily="34" charset="0"/>
              <a:cs typeface="Times New Roman" panose="02020603050405020304" pitchFamily="18" charset="0"/>
            </a:rPr>
            <a:t>initializes aperture data by filling columns F and G with opportune aperture class limits</a:t>
          </a:r>
        </a:p>
        <a:p>
          <a:pPr marL="342900" lvl="0" indent="-342900">
            <a:lnSpc>
              <a:spcPct val="115000"/>
            </a:lnSpc>
            <a:buFont typeface="Calibri" panose="020F0502020204030204" pitchFamily="34" charset="0"/>
            <a:buChar char="-"/>
          </a:pPr>
          <a:r>
            <a:rPr lang="en-GB" sz="1200" i="1">
              <a:effectLst/>
              <a:latin typeface="Calibri" panose="020F0502020204030204" pitchFamily="34" charset="0"/>
              <a:ea typeface="Calibri" panose="020F0502020204030204" pitchFamily="34" charset="0"/>
              <a:cs typeface="Times New Roman" panose="02020603050405020304" pitchFamily="18" charset="0"/>
            </a:rPr>
            <a:t>Sub Maximize() </a:t>
          </a:r>
          <a:r>
            <a:rPr lang="en-GB" sz="1200" i="0">
              <a:effectLst/>
              <a:latin typeface="Calibri" panose="020F0502020204030204" pitchFamily="34" charset="0"/>
              <a:ea typeface="Calibri" panose="020F0502020204030204" pitchFamily="34" charset="0"/>
              <a:cs typeface="Times New Roman" panose="02020603050405020304" pitchFamily="18" charset="0"/>
            </a:rPr>
            <a:t>and </a:t>
          </a:r>
          <a:r>
            <a:rPr lang="en-GB" sz="1200" i="1">
              <a:effectLst/>
              <a:latin typeface="Calibri" panose="020F0502020204030204" pitchFamily="34" charset="0"/>
              <a:ea typeface="Calibri" panose="020F0502020204030204" pitchFamily="34" charset="0"/>
              <a:cs typeface="Times New Roman" panose="02020603050405020304" pitchFamily="18" charset="0"/>
            </a:rPr>
            <a:t>Sub Minimize_LS()</a:t>
          </a:r>
          <a:r>
            <a:rPr lang="en-GB" sz="1200" i="0">
              <a:effectLst/>
              <a:latin typeface="Calibri" panose="020F0502020204030204" pitchFamily="34" charset="0"/>
              <a:ea typeface="Calibri" panose="020F0502020204030204" pitchFamily="34" charset="0"/>
              <a:cs typeface="Times New Roman" panose="02020603050405020304" pitchFamily="18" charset="0"/>
            </a:rPr>
            <a:t>: analyse a data set by maximizing or minimizing an object function, which is Log likelihood for the former and residual standard deviation for the latter.</a:t>
          </a:r>
          <a:endParaRPr lang="en-GB"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15000"/>
            </a:lnSpc>
            <a:buFont typeface="Calibri" panose="020F0502020204030204" pitchFamily="34" charset="0"/>
            <a:buChar char="-"/>
          </a:pPr>
          <a:r>
            <a:rPr lang="en-GB" sz="1200" i="1">
              <a:effectLst/>
              <a:latin typeface="Calibri" panose="020F0502020204030204" pitchFamily="34" charset="0"/>
              <a:ea typeface="Calibri" panose="020F0502020204030204" pitchFamily="34" charset="0"/>
              <a:cs typeface="Times New Roman" panose="02020603050405020304" pitchFamily="18" charset="0"/>
            </a:rPr>
            <a:t>Sub Simul_Apert_Data()</a:t>
          </a:r>
          <a:r>
            <a:rPr lang="en-GB" sz="1200" i="0">
              <a:effectLst/>
              <a:latin typeface="Calibri" panose="020F0502020204030204" pitchFamily="34" charset="0"/>
              <a:ea typeface="Calibri" panose="020F0502020204030204" pitchFamily="34" charset="0"/>
              <a:cs typeface="Times New Roman" panose="02020603050405020304" pitchFamily="18" charset="0"/>
            </a:rPr>
            <a:t>: based on field data and on model true values of </a:t>
          </a:r>
          <a:r>
            <a:rPr lang="en-GB" sz="1200" i="1">
              <a:effectLst/>
              <a:latin typeface="Calibri" panose="020F0502020204030204" pitchFamily="34" charset="0"/>
              <a:ea typeface="Calibri" panose="020F0502020204030204" pitchFamily="34" charset="0"/>
              <a:cs typeface="Times New Roman" panose="02020603050405020304" pitchFamily="18" charset="0"/>
            </a:rPr>
            <a:t>m</a:t>
          </a:r>
          <a:r>
            <a:rPr lang="en-GB" sz="1200" i="0">
              <a:effectLst/>
              <a:latin typeface="Calibri" panose="020F0502020204030204" pitchFamily="34" charset="0"/>
              <a:ea typeface="Calibri" panose="020F0502020204030204" pitchFamily="34" charset="0"/>
              <a:cs typeface="Times New Roman" panose="02020603050405020304" pitchFamily="18" charset="0"/>
            </a:rPr>
            <a:t>, </a:t>
          </a:r>
          <a:r>
            <a:rPr lang="en-GB" sz="1200" i="1">
              <a:effectLst/>
              <a:latin typeface="Calibri" panose="020F0502020204030204" pitchFamily="34" charset="0"/>
              <a:ea typeface="Calibri" panose="020F0502020204030204" pitchFamily="34" charset="0"/>
              <a:cs typeface="Times New Roman" panose="02020603050405020304" pitchFamily="18" charset="0"/>
            </a:rPr>
            <a:t>n</a:t>
          </a:r>
          <a:r>
            <a:rPr lang="en-GB" sz="1200" i="0">
              <a:effectLst/>
              <a:latin typeface="Calibri" panose="020F0502020204030204" pitchFamily="34" charset="0"/>
              <a:ea typeface="Calibri" panose="020F0502020204030204" pitchFamily="34" charset="0"/>
              <a:cs typeface="Times New Roman" panose="02020603050405020304" pitchFamily="18" charset="0"/>
            </a:rPr>
            <a:t> and </a:t>
          </a:r>
          <a:r>
            <a:rPr lang="en-GB" sz="1200" i="1">
              <a:effectLst/>
              <a:latin typeface="Calibri" panose="020F0502020204030204" pitchFamily="34" charset="0"/>
              <a:ea typeface="Calibri" panose="020F0502020204030204" pitchFamily="34" charset="0"/>
              <a:cs typeface="Times New Roman" panose="02020603050405020304" pitchFamily="18" charset="0"/>
            </a:rPr>
            <a:t>d</a:t>
          </a:r>
          <a:r>
            <a:rPr lang="en-GB" sz="1200" i="0">
              <a:effectLst/>
              <a:latin typeface="Calibri" panose="020F0502020204030204" pitchFamily="34" charset="0"/>
              <a:ea typeface="Calibri" panose="020F0502020204030204" pitchFamily="34" charset="0"/>
              <a:cs typeface="Times New Roman" panose="02020603050405020304" pitchFamily="18" charset="0"/>
            </a:rPr>
            <a:t>, it produces a 35 entries data set by (i) resampling thickness data and (ii) producing, for each thickness, a random aperture value. Then, it identifies which class it belongs to and its limits.</a:t>
          </a:r>
          <a:endParaRPr lang="en-GB"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15000"/>
            </a:lnSpc>
            <a:spcAft>
              <a:spcPts val="800"/>
            </a:spcAft>
            <a:buFont typeface="Calibri" panose="020F0502020204030204" pitchFamily="34" charset="0"/>
            <a:buChar char="-"/>
          </a:pPr>
          <a:r>
            <a:rPr lang="en-GB" sz="1200" i="1">
              <a:effectLst/>
              <a:latin typeface="Calibri" panose="020F0502020204030204" pitchFamily="34" charset="0"/>
              <a:ea typeface="Calibri" panose="020F0502020204030204" pitchFamily="34" charset="0"/>
              <a:cs typeface="Times New Roman" panose="02020603050405020304" pitchFamily="18" charset="0"/>
            </a:rPr>
            <a:t>Sub Simul_100()</a:t>
          </a:r>
          <a:r>
            <a:rPr lang="en-GB" sz="1200" i="0">
              <a:effectLst/>
              <a:latin typeface="Calibri" panose="020F0502020204030204" pitchFamily="34" charset="0"/>
              <a:ea typeface="Calibri" panose="020F0502020204030204" pitchFamily="34" charset="0"/>
              <a:cs typeface="Times New Roman" panose="02020603050405020304" pitchFamily="18" charset="0"/>
            </a:rPr>
            <a:t>: For each triplet of true values </a:t>
          </a:r>
          <a:r>
            <a:rPr lang="en-GB" sz="1200" i="1">
              <a:effectLst/>
              <a:latin typeface="Calibri" panose="020F0502020204030204" pitchFamily="34" charset="0"/>
              <a:ea typeface="Calibri" panose="020F0502020204030204" pitchFamily="34" charset="0"/>
              <a:cs typeface="Times New Roman" panose="02020603050405020304" pitchFamily="18" charset="0"/>
            </a:rPr>
            <a:t>m</a:t>
          </a:r>
          <a:r>
            <a:rPr lang="en-GB" sz="1200" i="0">
              <a:effectLst/>
              <a:latin typeface="Calibri" panose="020F0502020204030204" pitchFamily="34" charset="0"/>
              <a:ea typeface="Calibri" panose="020F0502020204030204" pitchFamily="34" charset="0"/>
              <a:cs typeface="Times New Roman" panose="02020603050405020304" pitchFamily="18" charset="0"/>
            </a:rPr>
            <a:t>, </a:t>
          </a:r>
          <a:r>
            <a:rPr lang="en-GB" sz="1200" i="1">
              <a:effectLst/>
              <a:latin typeface="Calibri" panose="020F0502020204030204" pitchFamily="34" charset="0"/>
              <a:ea typeface="Calibri" panose="020F0502020204030204" pitchFamily="34" charset="0"/>
              <a:cs typeface="Times New Roman" panose="02020603050405020304" pitchFamily="18" charset="0"/>
            </a:rPr>
            <a:t>n</a:t>
          </a:r>
          <a:r>
            <a:rPr lang="en-GB" sz="1200" i="0">
              <a:effectLst/>
              <a:latin typeface="Calibri" panose="020F0502020204030204" pitchFamily="34" charset="0"/>
              <a:ea typeface="Calibri" panose="020F0502020204030204" pitchFamily="34" charset="0"/>
              <a:cs typeface="Times New Roman" panose="02020603050405020304" pitchFamily="18" charset="0"/>
            </a:rPr>
            <a:t> and </a:t>
          </a:r>
          <a:r>
            <a:rPr lang="en-GB" sz="1200" i="1">
              <a:effectLst/>
              <a:latin typeface="Calibri" panose="020F0502020204030204" pitchFamily="34" charset="0"/>
              <a:ea typeface="Calibri" panose="020F0502020204030204" pitchFamily="34" charset="0"/>
              <a:cs typeface="Times New Roman" panose="02020603050405020304" pitchFamily="18" charset="0"/>
            </a:rPr>
            <a:t>d</a:t>
          </a:r>
          <a:r>
            <a:rPr lang="en-GB" sz="1200" i="0">
              <a:effectLst/>
              <a:latin typeface="Calibri" panose="020F0502020204030204" pitchFamily="34" charset="0"/>
              <a:ea typeface="Calibri" panose="020F0502020204030204" pitchFamily="34" charset="0"/>
              <a:cs typeface="Times New Roman" panose="02020603050405020304" pitchFamily="18" charset="0"/>
            </a:rPr>
            <a:t>, it produces 100 simulated data sets and analyses each one by means of </a:t>
          </a:r>
          <a:r>
            <a:rPr lang="en-GB" sz="1200" i="1">
              <a:effectLst/>
              <a:latin typeface="Calibri" panose="020F0502020204030204" pitchFamily="34" charset="0"/>
              <a:ea typeface="Calibri" panose="020F0502020204030204" pitchFamily="34" charset="0"/>
              <a:cs typeface="Times New Roman" panose="02020603050405020304" pitchFamily="18" charset="0"/>
            </a:rPr>
            <a:t>Sub Maximize()</a:t>
          </a:r>
          <a:r>
            <a:rPr lang="en-GB" sz="1200" i="0">
              <a:effectLst/>
              <a:latin typeface="Calibri" panose="020F0502020204030204" pitchFamily="34" charset="0"/>
              <a:ea typeface="Calibri" panose="020F0502020204030204" pitchFamily="34" charset="0"/>
              <a:cs typeface="Times New Roman" panose="02020603050405020304" pitchFamily="18" charset="0"/>
            </a:rPr>
            <a:t>, in sheet MLE,</a:t>
          </a:r>
          <a:r>
            <a:rPr lang="en-GB" sz="1200" i="1">
              <a:effectLst/>
              <a:latin typeface="Calibri" panose="020F0502020204030204" pitchFamily="34" charset="0"/>
              <a:ea typeface="Calibri" panose="020F0502020204030204" pitchFamily="34" charset="0"/>
              <a:cs typeface="Times New Roman" panose="02020603050405020304" pitchFamily="18" charset="0"/>
            </a:rPr>
            <a:t> </a:t>
          </a:r>
          <a:r>
            <a:rPr lang="en-GB" sz="1200" i="0">
              <a:effectLst/>
              <a:latin typeface="Calibri" panose="020F0502020204030204" pitchFamily="34" charset="0"/>
              <a:ea typeface="Calibri" panose="020F0502020204030204" pitchFamily="34" charset="0"/>
              <a:cs typeface="Times New Roman" panose="02020603050405020304" pitchFamily="18" charset="0"/>
            </a:rPr>
            <a:t>and </a:t>
          </a:r>
          <a:r>
            <a:rPr lang="en-GB" sz="1200" i="1">
              <a:effectLst/>
              <a:latin typeface="Calibri" panose="020F0502020204030204" pitchFamily="34" charset="0"/>
              <a:ea typeface="Calibri" panose="020F0502020204030204" pitchFamily="34" charset="0"/>
              <a:cs typeface="Times New Roman" panose="02020603050405020304" pitchFamily="18" charset="0"/>
            </a:rPr>
            <a:t>Sub Minimize_LS()</a:t>
          </a:r>
          <a:r>
            <a:rPr lang="en-GB" sz="1200" i="0">
              <a:effectLst/>
              <a:latin typeface="Calibri" panose="020F0502020204030204" pitchFamily="34" charset="0"/>
              <a:ea typeface="Calibri" panose="020F0502020204030204" pitchFamily="34" charset="0"/>
              <a:cs typeface="Times New Roman" panose="02020603050405020304" pitchFamily="18" charset="0"/>
            </a:rPr>
            <a:t>, in sheet LSM. Then it saves the estimated values in columns S, T and U.</a:t>
          </a:r>
        </a:p>
        <a:p>
          <a:pPr marL="342900" lvl="0" indent="-342900">
            <a:lnSpc>
              <a:spcPct val="115000"/>
            </a:lnSpc>
            <a:spcAft>
              <a:spcPts val="800"/>
            </a:spcAft>
            <a:buFont typeface="Calibri" panose="020F0502020204030204" pitchFamily="34" charset="0"/>
            <a:buChar char="-"/>
          </a:pPr>
          <a:r>
            <a:rPr lang="en-GB" sz="1200" i="1">
              <a:effectLst/>
              <a:latin typeface="Calibri" panose="020F0502020204030204" pitchFamily="34" charset="0"/>
              <a:ea typeface="Calibri" panose="020F0502020204030204" pitchFamily="34" charset="0"/>
              <a:cs typeface="Times New Roman" panose="02020603050405020304" pitchFamily="18" charset="0"/>
            </a:rPr>
            <a:t>Sub Monte_Carlo()</a:t>
          </a:r>
          <a:r>
            <a:rPr lang="en-GB" sz="1200" i="0">
              <a:effectLst/>
              <a:latin typeface="Calibri" panose="020F0502020204030204" pitchFamily="34" charset="0"/>
              <a:ea typeface="Calibri" panose="020F0502020204030204" pitchFamily="34" charset="0"/>
              <a:cs typeface="Times New Roman" panose="02020603050405020304" pitchFamily="18" charset="0"/>
            </a:rPr>
            <a:t>: varies the </a:t>
          </a:r>
          <a:r>
            <a:rPr lang="en-GB" sz="1200" i="1">
              <a:effectLst/>
              <a:latin typeface="Calibri" panose="020F0502020204030204" pitchFamily="34" charset="0"/>
              <a:ea typeface="Calibri" panose="020F0502020204030204" pitchFamily="34" charset="0"/>
              <a:cs typeface="Times New Roman" panose="02020603050405020304" pitchFamily="18" charset="0"/>
            </a:rPr>
            <a:t>n</a:t>
          </a:r>
          <a:r>
            <a:rPr lang="en-GB" sz="1200" i="0">
              <a:effectLst/>
              <a:latin typeface="Calibri" panose="020F0502020204030204" pitchFamily="34" charset="0"/>
              <a:ea typeface="Calibri" panose="020F0502020204030204" pitchFamily="34" charset="0"/>
              <a:cs typeface="Times New Roman" panose="02020603050405020304" pitchFamily="18" charset="0"/>
            </a:rPr>
            <a:t> true value in the range 0.05-4.75 mm, and for each value produces simulations by calling </a:t>
          </a:r>
          <a:r>
            <a:rPr lang="en-GB" sz="1200" i="1">
              <a:effectLst/>
              <a:latin typeface="Calibri" panose="020F0502020204030204" pitchFamily="34" charset="0"/>
              <a:ea typeface="Calibri" panose="020F0502020204030204" pitchFamily="34" charset="0"/>
              <a:cs typeface="Times New Roman" panose="02020603050405020304" pitchFamily="18" charset="0"/>
            </a:rPr>
            <a:t>Sub Simul_100()</a:t>
          </a:r>
          <a:r>
            <a:rPr lang="en-GB" sz="1200" i="0">
              <a:effectLst/>
              <a:latin typeface="Calibri" panose="020F0502020204030204" pitchFamily="34" charset="0"/>
              <a:ea typeface="Calibri" panose="020F0502020204030204" pitchFamily="34" charset="0"/>
              <a:cs typeface="Times New Roman" panose="02020603050405020304" pitchFamily="18" charset="0"/>
            </a:rPr>
            <a:t>, then saves the related results in sheet </a:t>
          </a:r>
          <a:r>
            <a:rPr lang="en-GB" sz="1200" i="1">
              <a:effectLst/>
              <a:latin typeface="Calibri" panose="020F0502020204030204" pitchFamily="34" charset="0"/>
              <a:ea typeface="Calibri" panose="020F0502020204030204" pitchFamily="34" charset="0"/>
              <a:cs typeface="Times New Roman" panose="02020603050405020304" pitchFamily="18" charset="0"/>
            </a:rPr>
            <a:t>Results</a:t>
          </a:r>
          <a:r>
            <a:rPr lang="en-GB" sz="1200" i="0">
              <a:effectLst/>
              <a:latin typeface="Calibri" panose="020F0502020204030204" pitchFamily="34" charset="0"/>
              <a:ea typeface="Calibri" panose="020F0502020204030204" pitchFamily="34" charset="0"/>
              <a:cs typeface="Times New Roman" panose="02020603050405020304" pitchFamily="18" charset="0"/>
            </a:rPr>
            <a:t>.</a:t>
          </a:r>
        </a:p>
        <a:p>
          <a:endParaRPr lang="en-GB" sz="1200">
            <a:effectLst/>
          </a:endParaRPr>
        </a:p>
        <a:p>
          <a:r>
            <a:rPr lang="en-GB" sz="1200" baseline="0">
              <a:solidFill>
                <a:schemeClr val="dk1"/>
              </a:solidFill>
              <a:effectLst/>
              <a:latin typeface="+mn-lt"/>
              <a:ea typeface="+mn-ea"/>
              <a:cs typeface="+mn-cs"/>
            </a:rPr>
            <a:t>This spreadsheet can be used to analyze your own data. The fracture thickness and opening data will be entered in columns C and E respectively. Then call the routine Sub Initialize_Apert_Data(), which will insert the appropriate values into columns F and G. Then, call the Sub Maximize() on the MLE sheet, which will maximize the object function. This routine only works on that sheet. </a:t>
          </a:r>
        </a:p>
        <a:p>
          <a:pPr>
            <a:lnSpc>
              <a:spcPct val="150000"/>
            </a:lnSpc>
          </a:pPr>
          <a:r>
            <a:rPr lang="en-GB" sz="1200" baseline="0">
              <a:solidFill>
                <a:schemeClr val="dk1"/>
              </a:solidFill>
              <a:effectLst/>
              <a:latin typeface="+mn-lt"/>
              <a:ea typeface="+mn-ea"/>
              <a:cs typeface="+mn-cs"/>
            </a:rPr>
            <a:t>The sheet, in its current form, analyzes a data set of 35 items. When analyzing a data set of different size, by way of example 50 items, you should update the arrays in columns I, J, K, M, N, O and P so that they have the same size (i.e. 50). Furthermore, the formulas in cells J55, J46, K46 and L46 must be updated so that they perform calculations on arrays of suitable length.</a:t>
          </a:r>
        </a:p>
        <a:p>
          <a:r>
            <a:rPr lang="en-GB" sz="1200" baseline="0">
              <a:solidFill>
                <a:schemeClr val="dk1"/>
              </a:solidFill>
              <a:effectLst/>
              <a:latin typeface="+mn-lt"/>
              <a:ea typeface="+mn-ea"/>
              <a:cs typeface="+mn-cs"/>
            </a:rPr>
            <a:t>The sheet also allows you to study the distribution of the residuals (deviations with respect to the best-fit line) in order to draw probability plots. To do this, simply copy the array of residuals in column J and paste it (with the "values only" option) into column N, then sort in ascending order.</a:t>
          </a:r>
        </a:p>
        <a:p>
          <a:pPr>
            <a:lnSpc>
              <a:spcPct val="150000"/>
            </a:lnSpc>
          </a:pPr>
          <a:r>
            <a:rPr lang="en-GB" sz="1200" i="0">
              <a:effectLst/>
              <a:latin typeface="+mn-lt"/>
              <a:ea typeface="Calibri" panose="020F0502020204030204" pitchFamily="34" charset="0"/>
              <a:cs typeface="Times New Roman" panose="02020603050405020304" pitchFamily="18" charset="0"/>
            </a:rPr>
            <a:t>Diagrams have been removed as they slow down the execution of routines.</a:t>
          </a:r>
        </a:p>
        <a:p>
          <a:pPr marL="342900" lvl="0" indent="-342900">
            <a:lnSpc>
              <a:spcPct val="115000"/>
            </a:lnSpc>
            <a:spcAft>
              <a:spcPts val="800"/>
            </a:spcAft>
            <a:buFont typeface="Calibri" panose="020F0502020204030204" pitchFamily="34" charset="0"/>
            <a:buChar char="-"/>
          </a:pPr>
          <a:endParaRPr lang="en-GB" sz="1200" i="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396874</xdr:colOff>
      <xdr:row>21</xdr:row>
      <xdr:rowOff>12489</xdr:rowOff>
    </xdr:from>
    <xdr:to>
      <xdr:col>8</xdr:col>
      <xdr:colOff>605154</xdr:colOff>
      <xdr:row>37</xdr:row>
      <xdr:rowOff>109220</xdr:rowOff>
    </xdr:to>
    <xdr:graphicFrame macro="">
      <xdr:nvGraphicFramePr>
        <xdr:cNvPr id="7169" name="Grafico 1">
          <a:extLst>
            <a:ext uri="{FF2B5EF4-FFF2-40B4-BE49-F238E27FC236}">
              <a16:creationId xmlns:a16="http://schemas.microsoft.com/office/drawing/2014/main" id="{530023A6-6D4D-6531-B8AF-E3F1880AA8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37888</xdr:colOff>
      <xdr:row>21</xdr:row>
      <xdr:rowOff>17568</xdr:rowOff>
    </xdr:from>
    <xdr:to>
      <xdr:col>4</xdr:col>
      <xdr:colOff>354118</xdr:colOff>
      <xdr:row>37</xdr:row>
      <xdr:rowOff>95673</xdr:rowOff>
    </xdr:to>
    <xdr:graphicFrame macro="">
      <xdr:nvGraphicFramePr>
        <xdr:cNvPr id="7170" name="Grafico 4">
          <a:extLst>
            <a:ext uri="{FF2B5EF4-FFF2-40B4-BE49-F238E27FC236}">
              <a16:creationId xmlns:a16="http://schemas.microsoft.com/office/drawing/2014/main" id="{C543D22D-8714-71B2-8042-48C20F3BB5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614045</xdr:colOff>
      <xdr:row>21</xdr:row>
      <xdr:rowOff>36196</xdr:rowOff>
    </xdr:from>
    <xdr:to>
      <xdr:col>13</xdr:col>
      <xdr:colOff>587375</xdr:colOff>
      <xdr:row>37</xdr:row>
      <xdr:rowOff>121920</xdr:rowOff>
    </xdr:to>
    <xdr:graphicFrame macro="">
      <xdr:nvGraphicFramePr>
        <xdr:cNvPr id="7171" name="Grafico 1">
          <a:extLst>
            <a:ext uri="{FF2B5EF4-FFF2-40B4-BE49-F238E27FC236}">
              <a16:creationId xmlns:a16="http://schemas.microsoft.com/office/drawing/2014/main" id="{597DA0E7-1878-C6DD-9BBF-D8B8DC400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4"/>
  <dimension ref="A2:DS246"/>
  <sheetViews>
    <sheetView tabSelected="1" topLeftCell="A6" zoomScale="80" zoomScaleNormal="80" workbookViewId="0">
      <selection activeCell="O13" sqref="O13"/>
    </sheetView>
  </sheetViews>
  <sheetFormatPr defaultColWidth="9.109375" defaultRowHeight="14.4" x14ac:dyDescent="0.3"/>
  <cols>
    <col min="1" max="1" width="11" style="1" customWidth="1"/>
    <col min="2" max="2" width="15.88671875" style="1" customWidth="1"/>
    <col min="3" max="3" width="11.5546875" style="1" customWidth="1"/>
    <col min="4" max="4" width="15" style="1" customWidth="1"/>
    <col min="5" max="5" width="11.109375" style="1" customWidth="1"/>
    <col min="6" max="6" width="11.88671875" style="1" customWidth="1"/>
    <col min="7" max="8" width="17.33203125" style="1" customWidth="1"/>
    <col min="9" max="9" width="18.6640625" style="1" bestFit="1" customWidth="1"/>
    <col min="10" max="10" width="24.33203125" style="1" bestFit="1" customWidth="1"/>
    <col min="11" max="11" width="19.33203125" style="1" bestFit="1" customWidth="1"/>
    <col min="12" max="13" width="13.44140625" style="1" customWidth="1"/>
    <col min="14" max="14" width="19.88671875" style="1" customWidth="1"/>
    <col min="15" max="15" width="13.6640625" style="1" customWidth="1"/>
    <col min="16" max="33" width="9.109375" style="1"/>
    <col min="34" max="34" width="10.44140625" style="1" customWidth="1"/>
    <col min="35" max="35" width="9.109375" style="1"/>
    <col min="36" max="36" width="10.5546875" style="1" customWidth="1"/>
    <col min="37" max="37" width="9.109375" style="1"/>
    <col min="38" max="38" width="10.88671875" style="1" customWidth="1"/>
    <col min="39" max="39" width="9.109375" style="1"/>
    <col min="40" max="40" width="10.33203125" style="1" customWidth="1"/>
    <col min="41" max="41" width="9.109375" style="1"/>
    <col min="42" max="42" width="11.44140625" style="1" customWidth="1"/>
    <col min="43" max="43" width="9.109375" style="1"/>
    <col min="44" max="44" width="10.6640625" style="1" customWidth="1"/>
    <col min="45" max="45" width="9.109375" style="1"/>
    <col min="46" max="46" width="10.44140625" style="1" customWidth="1"/>
    <col min="47" max="47" width="9.109375" style="1"/>
    <col min="48" max="48" width="10.88671875" style="1" customWidth="1"/>
    <col min="49" max="49" width="9.109375" style="1"/>
    <col min="50" max="50" width="10.44140625" style="1" customWidth="1"/>
    <col min="51" max="51" width="9.109375" style="1"/>
    <col min="52" max="52" width="10.33203125" style="1" customWidth="1"/>
    <col min="53" max="53" width="9.109375" style="1"/>
    <col min="54" max="54" width="10.33203125" style="1" customWidth="1"/>
    <col min="55" max="55" width="9.109375" style="1"/>
    <col min="56" max="56" width="10" style="1" customWidth="1"/>
    <col min="57" max="57" width="9.109375" style="1"/>
    <col min="58" max="58" width="10.109375" style="1" customWidth="1"/>
    <col min="59" max="59" width="9.109375" style="1"/>
    <col min="60" max="60" width="10.33203125" style="1" customWidth="1"/>
    <col min="61" max="61" width="9.109375" style="1"/>
    <col min="62" max="62" width="10.109375" style="1" customWidth="1"/>
    <col min="63" max="63" width="9.109375" style="1"/>
    <col min="64" max="64" width="10.44140625" style="1" customWidth="1"/>
    <col min="65" max="65" width="9.109375" style="1"/>
    <col min="66" max="66" width="10.5546875" style="1" customWidth="1"/>
    <col min="67" max="67" width="9.109375" style="1"/>
    <col min="68" max="68" width="11.33203125" style="1" customWidth="1"/>
    <col min="69" max="69" width="9.109375" style="1"/>
    <col min="70" max="70" width="10.5546875" style="1" customWidth="1"/>
    <col min="71" max="71" width="9.109375" style="1"/>
    <col min="72" max="72" width="10.109375" style="1" customWidth="1"/>
    <col min="73" max="73" width="9.109375" style="1"/>
    <col min="74" max="74" width="10.109375" style="1" customWidth="1"/>
    <col min="75" max="75" width="9.109375" style="1"/>
    <col min="76" max="76" width="10.5546875" style="1" customWidth="1"/>
    <col min="77" max="77" width="9.109375" style="1"/>
    <col min="78" max="78" width="10.44140625" style="1" customWidth="1"/>
    <col min="79" max="79" width="9.109375" style="1"/>
    <col min="80" max="80" width="10.44140625" style="1" customWidth="1"/>
    <col min="81" max="81" width="9.109375" style="1"/>
    <col min="82" max="82" width="10.44140625" style="1" customWidth="1"/>
    <col min="83" max="83" width="9.109375" style="1"/>
    <col min="84" max="84" width="10.33203125" style="1" customWidth="1"/>
    <col min="85" max="85" width="9.109375" style="1"/>
    <col min="86" max="86" width="10.109375" style="1" customWidth="1"/>
    <col min="87" max="87" width="9.109375" style="1"/>
    <col min="88" max="88" width="10.44140625" style="1" customWidth="1"/>
    <col min="89" max="89" width="9.109375" style="1"/>
    <col min="90" max="90" width="10.109375" style="1" customWidth="1"/>
    <col min="91" max="91" width="9.109375" style="1"/>
    <col min="92" max="92" width="10.44140625" style="1" customWidth="1"/>
    <col min="93" max="93" width="9.109375" style="1"/>
    <col min="94" max="94" width="10.5546875" style="1" customWidth="1"/>
    <col min="95" max="95" width="9.109375" style="1"/>
    <col min="96" max="96" width="10.109375" style="1" customWidth="1"/>
    <col min="97" max="97" width="9.109375" style="1"/>
    <col min="98" max="98" width="10" style="1" customWidth="1"/>
    <col min="99" max="99" width="9.109375" style="1"/>
    <col min="100" max="100" width="10.44140625" style="1" customWidth="1"/>
    <col min="101" max="101" width="9.109375" style="1"/>
    <col min="102" max="102" width="10.109375" style="1" customWidth="1"/>
    <col min="103" max="103" width="9.109375" style="1"/>
    <col min="104" max="104" width="10.109375" style="1" customWidth="1"/>
    <col min="105" max="105" width="9.109375" style="1"/>
    <col min="106" max="106" width="10.109375" style="1" customWidth="1"/>
    <col min="107" max="107" width="9.109375" style="1"/>
    <col min="108" max="108" width="10.109375" style="1" customWidth="1"/>
    <col min="109" max="109" width="9.109375" style="1"/>
    <col min="110" max="110" width="10.33203125" style="1" customWidth="1"/>
    <col min="111" max="111" width="9.109375" style="1"/>
    <col min="112" max="112" width="10.44140625" style="1" customWidth="1"/>
    <col min="113" max="113" width="9.109375" style="1"/>
    <col min="114" max="114" width="11.109375" style="1" customWidth="1"/>
    <col min="115" max="115" width="9.109375" style="1"/>
    <col min="116" max="116" width="11" style="1" customWidth="1"/>
    <col min="117" max="117" width="9.109375" style="1"/>
    <col min="118" max="118" width="10.88671875" style="1" customWidth="1"/>
    <col min="119" max="119" width="9.109375" style="1"/>
    <col min="120" max="120" width="10.33203125" style="1" customWidth="1"/>
    <col min="121" max="121" width="9.109375" style="1"/>
    <col min="122" max="122" width="10.88671875" style="1" customWidth="1"/>
    <col min="123" max="16384" width="9.109375" style="1"/>
  </cols>
  <sheetData>
    <row r="2" spans="2:123" x14ac:dyDescent="0.3">
      <c r="B2" s="2"/>
      <c r="C2" s="2"/>
      <c r="D2" s="2"/>
      <c r="E2" s="2"/>
      <c r="F2" s="2"/>
      <c r="G2" s="2"/>
      <c r="H2" s="2"/>
      <c r="I2" s="2"/>
      <c r="J2" s="2"/>
      <c r="K2" s="2"/>
      <c r="L2" s="2"/>
      <c r="M2" s="2"/>
      <c r="N2" s="2"/>
      <c r="P2" s="16"/>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8"/>
      <c r="AV2" s="16"/>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8"/>
      <c r="CB2" s="17"/>
      <c r="CC2" s="18"/>
      <c r="CD2" s="16"/>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8"/>
      <c r="DJ2" s="17"/>
      <c r="DK2" s="17"/>
      <c r="DL2" s="17"/>
      <c r="DM2" s="17"/>
      <c r="DN2" s="17"/>
      <c r="DO2" s="17"/>
      <c r="DP2" s="17"/>
      <c r="DQ2" s="18"/>
      <c r="DR2" s="17"/>
      <c r="DS2" s="18"/>
    </row>
    <row r="3" spans="2:123" x14ac:dyDescent="0.3">
      <c r="P3" s="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5"/>
    </row>
    <row r="4" spans="2:123" x14ac:dyDescent="0.3">
      <c r="P4" s="3"/>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5"/>
    </row>
    <row r="5" spans="2:123" x14ac:dyDescent="0.3">
      <c r="P5" s="3"/>
      <c r="Q5" s="4"/>
      <c r="R5" s="4"/>
      <c r="S5" s="4"/>
      <c r="T5" s="4"/>
      <c r="U5" s="4"/>
      <c r="V5" s="4"/>
      <c r="W5" s="4"/>
      <c r="X5" s="4"/>
      <c r="Y5" s="4"/>
      <c r="Z5" s="4"/>
      <c r="AA5" s="4"/>
      <c r="AB5" s="4"/>
      <c r="AC5" s="4"/>
      <c r="AD5" s="4"/>
      <c r="AE5" s="4"/>
      <c r="AF5" s="4"/>
      <c r="AG5" s="4"/>
      <c r="AH5" s="4"/>
      <c r="AI5" s="4"/>
      <c r="AJ5" s="4"/>
      <c r="AK5" s="4"/>
      <c r="AL5" s="4"/>
      <c r="AN5" s="4"/>
      <c r="AO5" s="4"/>
      <c r="AP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5"/>
    </row>
    <row r="6" spans="2:123" x14ac:dyDescent="0.3">
      <c r="P6" s="3"/>
      <c r="Q6" s="4"/>
      <c r="R6" s="4"/>
      <c r="S6" s="4"/>
      <c r="T6" s="4"/>
      <c r="U6" s="4"/>
      <c r="V6" s="4"/>
      <c r="Y6" s="4"/>
      <c r="Z6" s="4"/>
      <c r="AB6" s="4"/>
      <c r="AD6" s="4"/>
      <c r="AF6" s="4"/>
      <c r="AH6" s="4"/>
      <c r="AJ6" s="4"/>
      <c r="AK6" s="4"/>
      <c r="AL6" s="4"/>
      <c r="AM6" s="4"/>
      <c r="AN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5"/>
    </row>
    <row r="7" spans="2:123" x14ac:dyDescent="0.3">
      <c r="P7" s="3"/>
      <c r="Q7" s="4"/>
      <c r="R7" s="4"/>
      <c r="S7" s="4"/>
      <c r="T7" s="4"/>
      <c r="U7" s="4"/>
      <c r="V7" s="4"/>
      <c r="W7" s="4"/>
      <c r="X7" s="4"/>
      <c r="Y7" s="4"/>
      <c r="Z7" s="4"/>
      <c r="AA7" s="4"/>
      <c r="AB7" s="4"/>
      <c r="AC7" s="4"/>
      <c r="AD7" s="4"/>
      <c r="AE7" s="4"/>
      <c r="AF7" s="4"/>
      <c r="AG7" s="4"/>
      <c r="AH7" s="4"/>
      <c r="AI7" s="4"/>
      <c r="AJ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5"/>
    </row>
    <row r="8" spans="2:123" x14ac:dyDescent="0.3">
      <c r="P8" s="3"/>
      <c r="Q8" s="4"/>
      <c r="R8" s="4"/>
      <c r="S8" s="4"/>
      <c r="T8" s="4"/>
      <c r="U8" s="4"/>
      <c r="V8" s="4"/>
      <c r="W8" s="4"/>
      <c r="X8" s="4"/>
      <c r="Y8" s="4"/>
      <c r="Z8" s="4"/>
      <c r="AA8" s="4"/>
      <c r="AB8" s="4"/>
      <c r="AC8" s="4"/>
      <c r="AD8" s="4"/>
      <c r="AE8" s="4"/>
      <c r="AF8" s="4"/>
      <c r="AG8" s="4"/>
      <c r="AH8" s="4"/>
      <c r="AI8" s="4"/>
      <c r="AJ8" s="4"/>
      <c r="AK8" s="4"/>
      <c r="AL8" s="4"/>
      <c r="AM8" s="4"/>
      <c r="AN8" s="4"/>
      <c r="AO8" s="4"/>
      <c r="AP8" s="4"/>
      <c r="AQ8" s="4"/>
      <c r="AR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5"/>
    </row>
    <row r="9" spans="2:123" x14ac:dyDescent="0.3">
      <c r="P9" s="3"/>
      <c r="Q9" s="4"/>
      <c r="R9" s="4"/>
      <c r="S9" s="4"/>
      <c r="T9" s="4"/>
      <c r="V9" s="4"/>
      <c r="W9" s="4"/>
      <c r="X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5"/>
    </row>
    <row r="10" spans="2:123" x14ac:dyDescent="0.3">
      <c r="P10" s="3"/>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5"/>
    </row>
    <row r="11" spans="2:123" x14ac:dyDescent="0.3">
      <c r="P11" s="3"/>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5"/>
    </row>
    <row r="12" spans="2:123" x14ac:dyDescent="0.3">
      <c r="P12" s="3"/>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5"/>
    </row>
    <row r="13" spans="2:123" x14ac:dyDescent="0.3">
      <c r="P13" s="3"/>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5"/>
    </row>
    <row r="14" spans="2:123" x14ac:dyDescent="0.3">
      <c r="P14" s="3"/>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8"/>
    </row>
    <row r="15" spans="2:123" x14ac:dyDescent="0.3">
      <c r="P15" s="6"/>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8"/>
    </row>
    <row r="21" spans="15:15" x14ac:dyDescent="0.3">
      <c r="O21" s="2"/>
    </row>
    <row r="38" spans="6:12" x14ac:dyDescent="0.3">
      <c r="F38" s="11" t="s">
        <v>19</v>
      </c>
      <c r="G38" s="11" t="s">
        <v>20</v>
      </c>
    </row>
    <row r="39" spans="6:12" x14ac:dyDescent="0.3">
      <c r="F39" s="1">
        <v>0.26500000000000001</v>
      </c>
      <c r="G39" s="12">
        <v>0.01</v>
      </c>
      <c r="H39" s="11" t="s">
        <v>8</v>
      </c>
    </row>
    <row r="40" spans="6:12" x14ac:dyDescent="0.3">
      <c r="F40" s="1">
        <v>0.33</v>
      </c>
      <c r="G40" s="1">
        <f t="shared" ref="G40:G48" si="0">(F40+F39)/2</f>
        <v>0.29749999999999999</v>
      </c>
      <c r="H40" s="11" t="s">
        <v>24</v>
      </c>
    </row>
    <row r="41" spans="6:12" x14ac:dyDescent="0.3">
      <c r="F41" s="1">
        <v>0.4</v>
      </c>
      <c r="G41" s="1">
        <f t="shared" si="0"/>
        <v>0.36499999999999999</v>
      </c>
      <c r="H41" s="23">
        <v>3.0000000000000001E-3</v>
      </c>
    </row>
    <row r="42" spans="6:12" x14ac:dyDescent="0.3">
      <c r="F42" s="1">
        <v>0.5</v>
      </c>
      <c r="G42" s="1">
        <f t="shared" si="0"/>
        <v>0.45</v>
      </c>
      <c r="H42" s="11" t="s">
        <v>23</v>
      </c>
    </row>
    <row r="43" spans="6:12" x14ac:dyDescent="0.3">
      <c r="F43" s="1">
        <v>0.62</v>
      </c>
      <c r="G43" s="1">
        <f t="shared" si="0"/>
        <v>0.56000000000000005</v>
      </c>
      <c r="H43" s="23">
        <v>0.47499999999999998</v>
      </c>
    </row>
    <row r="44" spans="6:12" x14ac:dyDescent="0.3">
      <c r="F44" s="1">
        <v>0.75</v>
      </c>
      <c r="G44" s="1">
        <f t="shared" si="0"/>
        <v>0.68500000000000005</v>
      </c>
      <c r="K44" s="27" t="s">
        <v>30</v>
      </c>
      <c r="L44" s="27"/>
    </row>
    <row r="45" spans="6:12" x14ac:dyDescent="0.3">
      <c r="F45" s="1">
        <v>0.95</v>
      </c>
      <c r="G45" s="1">
        <f t="shared" si="0"/>
        <v>0.85</v>
      </c>
      <c r="J45" s="11" t="s">
        <v>22</v>
      </c>
      <c r="K45" s="11" t="s">
        <v>1</v>
      </c>
      <c r="L45" s="11" t="s">
        <v>14</v>
      </c>
    </row>
    <row r="46" spans="6:12" x14ac:dyDescent="0.3">
      <c r="F46" s="1">
        <v>1.1000000000000001</v>
      </c>
      <c r="G46" s="1">
        <f t="shared" si="0"/>
        <v>1.0249999999999999</v>
      </c>
      <c r="I46" s="11" t="s">
        <v>38</v>
      </c>
      <c r="J46" s="25">
        <f>STDEV(J60:J95)</f>
        <v>0.22687394553160378</v>
      </c>
      <c r="K46" s="25">
        <f t="array" ref="K46:L46">LINEST(E60:E94,C60:C94,TRUE,FALSE)</f>
        <v>2.0608039441370224E-3</v>
      </c>
      <c r="L46" s="25">
        <v>0.54289363613069763</v>
      </c>
    </row>
    <row r="47" spans="6:12" x14ac:dyDescent="0.3">
      <c r="F47" s="1">
        <v>1.4</v>
      </c>
      <c r="G47" s="1">
        <f t="shared" si="0"/>
        <v>1.25</v>
      </c>
      <c r="I47" s="11" t="s">
        <v>39</v>
      </c>
      <c r="J47" s="11" t="s">
        <v>40</v>
      </c>
    </row>
    <row r="48" spans="6:12" x14ac:dyDescent="0.3">
      <c r="F48" s="1">
        <v>1.75</v>
      </c>
      <c r="G48" s="1">
        <f t="shared" si="0"/>
        <v>1.575</v>
      </c>
      <c r="I48" s="22">
        <v>0.2</v>
      </c>
      <c r="J48" s="10">
        <v>0.21279899775981903</v>
      </c>
    </row>
    <row r="49" spans="1:24" x14ac:dyDescent="0.3">
      <c r="E49" s="1">
        <v>100</v>
      </c>
      <c r="G49" s="12">
        <v>10</v>
      </c>
      <c r="J49" s="1">
        <v>0</v>
      </c>
    </row>
    <row r="51" spans="1:24" x14ac:dyDescent="0.3">
      <c r="E51" s="11" t="s">
        <v>29</v>
      </c>
      <c r="F51" s="11" t="s">
        <v>26</v>
      </c>
      <c r="G51" s="11" t="s">
        <v>28</v>
      </c>
      <c r="I51" s="11" t="s">
        <v>3</v>
      </c>
    </row>
    <row r="52" spans="1:24" x14ac:dyDescent="0.3">
      <c r="E52" s="1">
        <v>0.98767852783203125</v>
      </c>
      <c r="F52" s="1">
        <f>LOGINV(E52,LN(H41*G52+H43),I$48)</f>
        <v>0.74449465678850224</v>
      </c>
      <c r="G52" s="1">
        <v>0</v>
      </c>
      <c r="I52" s="1">
        <v>9.9999997764825828E-5</v>
      </c>
    </row>
    <row r="53" spans="1:24" x14ac:dyDescent="0.3">
      <c r="E53" s="1" t="s">
        <v>0</v>
      </c>
      <c r="F53" s="1" t="s">
        <v>2</v>
      </c>
      <c r="G53" s="1" t="s">
        <v>6</v>
      </c>
    </row>
    <row r="54" spans="1:24" x14ac:dyDescent="0.3">
      <c r="E54" s="1">
        <v>5</v>
      </c>
      <c r="F54" s="1">
        <f>I55*E54+I57</f>
        <v>0.54116276302374899</v>
      </c>
      <c r="G54" s="1">
        <v>8.7789439806812447E-2</v>
      </c>
      <c r="I54" s="11" t="s">
        <v>41</v>
      </c>
      <c r="J54" s="11" t="s">
        <v>25</v>
      </c>
      <c r="L54" s="12"/>
      <c r="M54" s="12"/>
      <c r="N54" s="12"/>
    </row>
    <row r="55" spans="1:24" x14ac:dyDescent="0.3">
      <c r="E55" s="1">
        <v>120</v>
      </c>
      <c r="F55" s="1">
        <f>I55*E55+I57</f>
        <v>0.77735022269189358</v>
      </c>
      <c r="I55" s="9">
        <v>2.0538039971143007E-3</v>
      </c>
      <c r="J55" s="21">
        <f>-SUM(K60:K94)</f>
        <v>51.66724007394874</v>
      </c>
      <c r="L55" s="12"/>
      <c r="M55" s="12"/>
      <c r="N55" s="12"/>
    </row>
    <row r="56" spans="1:24" x14ac:dyDescent="0.3">
      <c r="I56" s="11" t="s">
        <v>42</v>
      </c>
      <c r="L56" s="12"/>
      <c r="M56" s="12"/>
      <c r="N56" s="12"/>
    </row>
    <row r="57" spans="1:24" x14ac:dyDescent="0.3">
      <c r="I57" s="9">
        <v>0.53089374303817749</v>
      </c>
      <c r="L57" s="12"/>
      <c r="M57" s="12"/>
      <c r="N57" s="12"/>
    </row>
    <row r="58" spans="1:24" x14ac:dyDescent="0.3">
      <c r="A58" s="11" t="s">
        <v>31</v>
      </c>
      <c r="C58" s="11" t="s">
        <v>32</v>
      </c>
      <c r="L58" s="12"/>
      <c r="M58" s="12"/>
      <c r="N58" s="12"/>
      <c r="V58" s="11" t="s">
        <v>37</v>
      </c>
      <c r="W58" s="11" t="s">
        <v>14</v>
      </c>
      <c r="X58" s="11" t="s">
        <v>1</v>
      </c>
    </row>
    <row r="59" spans="1:24" ht="28.8" x14ac:dyDescent="0.3">
      <c r="A59" s="24" t="s">
        <v>44</v>
      </c>
      <c r="B59" s="12"/>
      <c r="C59" s="11" t="s">
        <v>46</v>
      </c>
      <c r="D59" s="19"/>
      <c r="E59" s="24" t="s">
        <v>45</v>
      </c>
      <c r="F59" s="11" t="s">
        <v>34</v>
      </c>
      <c r="G59" s="11" t="s">
        <v>33</v>
      </c>
      <c r="H59" s="12"/>
      <c r="I59" s="11" t="s">
        <v>9</v>
      </c>
      <c r="J59" s="11" t="s">
        <v>7</v>
      </c>
      <c r="K59" s="11" t="s">
        <v>21</v>
      </c>
      <c r="L59" s="12"/>
      <c r="M59" s="11" t="s">
        <v>4</v>
      </c>
      <c r="N59" s="11" t="s">
        <v>43</v>
      </c>
      <c r="O59" s="11" t="s">
        <v>35</v>
      </c>
      <c r="P59" s="11" t="s">
        <v>5</v>
      </c>
      <c r="Q59" s="11" t="s">
        <v>27</v>
      </c>
      <c r="S59" s="20" t="s">
        <v>37</v>
      </c>
      <c r="T59" s="20" t="s">
        <v>14</v>
      </c>
      <c r="U59" s="20" t="s">
        <v>1</v>
      </c>
      <c r="V59" s="11" t="s">
        <v>27</v>
      </c>
      <c r="W59" s="11" t="s">
        <v>27</v>
      </c>
      <c r="X59" s="11" t="s">
        <v>27</v>
      </c>
    </row>
    <row r="60" spans="1:24" x14ac:dyDescent="0.3">
      <c r="A60" s="13">
        <v>4.5</v>
      </c>
      <c r="C60" s="1">
        <v>5</v>
      </c>
      <c r="D60" s="12"/>
      <c r="E60" s="1">
        <v>0.75</v>
      </c>
      <c r="F60" s="1">
        <v>0.68500000000000005</v>
      </c>
      <c r="G60" s="1">
        <v>0.85</v>
      </c>
      <c r="I60" s="1">
        <f t="shared" ref="I60:I94" si="1">I$55*C60+I$57</f>
        <v>0.54116276302374899</v>
      </c>
      <c r="J60" s="1">
        <f>LN(E60)-LN(I60)+EXP(-10)</f>
        <v>0.32639851699523892</v>
      </c>
      <c r="K60" s="1">
        <f t="shared" ref="K60:K94" si="2">LN(LOGNORMDIST(G60,LN(I$55*C60+I$57),J$48)-LOGNORMDIST(F60,LN(I$55*C60+I$57),J$48)+EXP(-100))</f>
        <v>-2.144835585009683</v>
      </c>
      <c r="L60" s="12"/>
      <c r="M60" s="1">
        <v>1</v>
      </c>
      <c r="N60" s="1">
        <v>-0.7616022097825369</v>
      </c>
      <c r="O60" s="1">
        <f>M60/(COUNT(M$60:M$1095)+1)</f>
        <v>2.7777777777777776E-2</v>
      </c>
      <c r="P60" s="1">
        <f t="shared" ref="P60:P94" si="3">NORMSINV(O60)</f>
        <v>-1.9145058250555569</v>
      </c>
      <c r="Q60" s="1">
        <f>AVERAGE(N60:N1095)</f>
        <v>-2.7212878039580647E-2</v>
      </c>
      <c r="S60" s="1">
        <v>0.18875125050544739</v>
      </c>
      <c r="T60" s="1">
        <v>0.45907509326934814</v>
      </c>
      <c r="U60" s="1">
        <v>3.2669126521795988E-3</v>
      </c>
      <c r="V60" s="26">
        <f>AVERAGE(S60:S159)</f>
        <v>0.18921700522303581</v>
      </c>
      <c r="W60" s="26">
        <f>AVERAGE(T60:T159)</f>
        <v>0.47649635910987853</v>
      </c>
      <c r="X60" s="26">
        <f>AVERAGE(U60:U159)</f>
        <v>2.9674259887542574E-3</v>
      </c>
    </row>
    <row r="61" spans="1:24" x14ac:dyDescent="0.3">
      <c r="A61" s="13">
        <v>4.5</v>
      </c>
      <c r="C61" s="1">
        <v>4</v>
      </c>
      <c r="D61" s="12"/>
      <c r="E61" s="1">
        <v>0.5</v>
      </c>
      <c r="F61" s="1">
        <v>0.45</v>
      </c>
      <c r="G61" s="1">
        <v>0.56000000000000005</v>
      </c>
      <c r="I61" s="1">
        <f t="shared" si="1"/>
        <v>0.53910895902663469</v>
      </c>
      <c r="J61" s="1">
        <f t="shared" ref="J61:J94" si="4">LN(E61)-LN(I61)</f>
        <v>-7.5309602384889263E-2</v>
      </c>
      <c r="K61" s="1">
        <f t="shared" si="2"/>
        <v>-0.98627684897611256</v>
      </c>
      <c r="M61" s="1">
        <v>2</v>
      </c>
      <c r="N61" s="1">
        <v>-0.70908262274640743</v>
      </c>
      <c r="O61" s="1">
        <f t="shared" ref="O61:O94" si="5">M61/(COUNT(M$60:M$1095)+1)</f>
        <v>5.5555555555555552E-2</v>
      </c>
      <c r="P61" s="1">
        <f t="shared" si="3"/>
        <v>-1.5932188180230502</v>
      </c>
      <c r="Q61" s="1" t="s">
        <v>36</v>
      </c>
      <c r="S61" s="1">
        <v>0.20494765043258667</v>
      </c>
      <c r="T61" s="1">
        <v>0.47840198874473572</v>
      </c>
      <c r="U61" s="1">
        <v>3.2296371646225452E-3</v>
      </c>
      <c r="V61" s="11" t="s">
        <v>36</v>
      </c>
      <c r="W61" s="11" t="s">
        <v>36</v>
      </c>
      <c r="X61" s="11" t="s">
        <v>36</v>
      </c>
    </row>
    <row r="62" spans="1:24" x14ac:dyDescent="0.3">
      <c r="A62" s="13">
        <v>4.5</v>
      </c>
      <c r="C62" s="1">
        <v>106</v>
      </c>
      <c r="D62" s="12"/>
      <c r="E62" s="1">
        <v>0.75</v>
      </c>
      <c r="F62" s="1">
        <v>0.68500000000000005</v>
      </c>
      <c r="G62" s="1">
        <v>0.85</v>
      </c>
      <c r="I62" s="1">
        <f t="shared" si="1"/>
        <v>0.74859696673229337</v>
      </c>
      <c r="J62" s="1">
        <f t="shared" si="4"/>
        <v>1.8724629887637567E-3</v>
      </c>
      <c r="K62" s="1">
        <f t="shared" si="2"/>
        <v>-0.95068680131375893</v>
      </c>
      <c r="M62" s="1">
        <v>3</v>
      </c>
      <c r="N62" s="1">
        <v>-0.51671075493421936</v>
      </c>
      <c r="O62" s="1">
        <f t="shared" si="5"/>
        <v>8.3333333333333329E-2</v>
      </c>
      <c r="P62" s="1">
        <f t="shared" si="3"/>
        <v>-1.3829941271006392</v>
      </c>
      <c r="Q62" s="1">
        <f>STDEV(N60:N1095)</f>
        <v>0.31209454766412592</v>
      </c>
      <c r="S62" s="1">
        <v>0.18301816284656525</v>
      </c>
      <c r="T62" s="1">
        <v>0.47353443503379822</v>
      </c>
      <c r="U62" s="1">
        <v>2.8181825764477253E-3</v>
      </c>
      <c r="V62" s="26">
        <f>STDEV(S60:S159)</f>
        <v>2.3130336211434364E-2</v>
      </c>
      <c r="W62" s="26">
        <f>STDEV(T60:T159)</f>
        <v>2.7518407944471069E-2</v>
      </c>
      <c r="X62" s="26">
        <f>STDEV(U60:U159)</f>
        <v>8.03304674532906E-4</v>
      </c>
    </row>
    <row r="63" spans="1:24" x14ac:dyDescent="0.3">
      <c r="A63" s="13">
        <v>4.5</v>
      </c>
      <c r="C63" s="1">
        <v>82</v>
      </c>
      <c r="D63" s="12"/>
      <c r="E63" s="1">
        <v>0.94999998807907104</v>
      </c>
      <c r="F63" s="1">
        <v>0.85</v>
      </c>
      <c r="G63" s="1">
        <v>1.0249999999999999</v>
      </c>
      <c r="I63" s="1">
        <f t="shared" si="1"/>
        <v>0.69930567080155015</v>
      </c>
      <c r="J63" s="1">
        <f t="shared" si="4"/>
        <v>0.30637402811497289</v>
      </c>
      <c r="K63" s="1">
        <f t="shared" si="2"/>
        <v>-1.9422972341747851</v>
      </c>
      <c r="M63" s="1">
        <v>4</v>
      </c>
      <c r="N63" s="1">
        <v>-0.4370309522919168</v>
      </c>
      <c r="O63" s="1">
        <f t="shared" si="5"/>
        <v>0.1111111111111111</v>
      </c>
      <c r="P63" s="1">
        <f t="shared" si="3"/>
        <v>-1.2206403488473501</v>
      </c>
      <c r="S63" s="1">
        <v>0.13607022166252136</v>
      </c>
      <c r="T63" s="1">
        <v>0.46685725450515747</v>
      </c>
      <c r="U63" s="1">
        <v>3.0474690720438957E-3</v>
      </c>
    </row>
    <row r="64" spans="1:24" x14ac:dyDescent="0.3">
      <c r="A64" s="13">
        <v>4.5</v>
      </c>
      <c r="C64" s="1">
        <v>106</v>
      </c>
      <c r="D64" s="12"/>
      <c r="E64" s="1">
        <v>0.62000000476837158</v>
      </c>
      <c r="F64" s="1">
        <v>0.56000000000000005</v>
      </c>
      <c r="G64" s="1">
        <v>0.68500000000000005</v>
      </c>
      <c r="I64" s="1">
        <f t="shared" si="1"/>
        <v>0.74859696673229337</v>
      </c>
      <c r="J64" s="1">
        <f t="shared" si="4"/>
        <v>-0.1884812578115333</v>
      </c>
      <c r="K64" s="1">
        <f t="shared" si="2"/>
        <v>-1.3783932860900123</v>
      </c>
      <c r="M64" s="1">
        <v>5</v>
      </c>
      <c r="N64" s="1">
        <v>-0.4370309522919168</v>
      </c>
      <c r="O64" s="1">
        <f t="shared" si="5"/>
        <v>0.1388888888888889</v>
      </c>
      <c r="P64" s="1">
        <f t="shared" si="3"/>
        <v>-1.0853249080767586</v>
      </c>
      <c r="S64" s="1">
        <v>0.19546738266944885</v>
      </c>
      <c r="T64" s="1">
        <v>0.47172370553016663</v>
      </c>
      <c r="U64" s="1">
        <v>2.8073708526790142E-3</v>
      </c>
    </row>
    <row r="65" spans="1:21" x14ac:dyDescent="0.3">
      <c r="A65" s="13">
        <v>4.5</v>
      </c>
      <c r="C65" s="1">
        <v>62</v>
      </c>
      <c r="D65" s="12"/>
      <c r="E65" s="1">
        <v>0.62000000476837158</v>
      </c>
      <c r="F65" s="1">
        <v>0.56000000000000005</v>
      </c>
      <c r="G65" s="1">
        <v>0.68500000000000005</v>
      </c>
      <c r="I65" s="1">
        <f t="shared" si="1"/>
        <v>0.65822959085926414</v>
      </c>
      <c r="J65" s="1">
        <f t="shared" si="4"/>
        <v>-5.9834307014553167E-2</v>
      </c>
      <c r="K65" s="1">
        <f t="shared" si="2"/>
        <v>-1.0483389200770845</v>
      </c>
      <c r="M65" s="1">
        <v>6</v>
      </c>
      <c r="N65" s="1">
        <v>-0.39252126539667731</v>
      </c>
      <c r="O65" s="1">
        <f t="shared" si="5"/>
        <v>0.16666666666666666</v>
      </c>
      <c r="P65" s="1">
        <f t="shared" si="3"/>
        <v>-0.96742156610170071</v>
      </c>
      <c r="S65" s="1">
        <v>0.22251106798648834</v>
      </c>
      <c r="T65" s="1">
        <v>0.46631652116775513</v>
      </c>
      <c r="U65" s="1">
        <v>3.4568412229418755E-3</v>
      </c>
    </row>
    <row r="66" spans="1:21" x14ac:dyDescent="0.3">
      <c r="A66" s="13">
        <v>4.5</v>
      </c>
      <c r="C66" s="1">
        <v>101</v>
      </c>
      <c r="D66" s="12"/>
      <c r="E66" s="1">
        <v>0.75</v>
      </c>
      <c r="F66" s="1">
        <v>0.68500000000000005</v>
      </c>
      <c r="G66" s="1">
        <v>0.85</v>
      </c>
      <c r="I66" s="1">
        <f t="shared" si="1"/>
        <v>0.73832794674672186</v>
      </c>
      <c r="J66" s="1">
        <f t="shared" si="4"/>
        <v>1.5685108348476917E-2</v>
      </c>
      <c r="K66" s="1">
        <f t="shared" si="2"/>
        <v>-0.95797018594657246</v>
      </c>
      <c r="M66" s="1">
        <v>7</v>
      </c>
      <c r="N66" s="1">
        <v>-0.29356721852117063</v>
      </c>
      <c r="O66" s="1">
        <f t="shared" si="5"/>
        <v>0.19444444444444445</v>
      </c>
      <c r="P66" s="1">
        <f t="shared" si="3"/>
        <v>-0.8616341201741734</v>
      </c>
      <c r="S66" s="1">
        <v>0.2034885585308075</v>
      </c>
      <c r="T66" s="1">
        <v>0.47079092264175415</v>
      </c>
      <c r="U66" s="1">
        <v>3.888376522809267E-3</v>
      </c>
    </row>
    <row r="67" spans="1:21" x14ac:dyDescent="0.3">
      <c r="A67" s="13">
        <v>4.5</v>
      </c>
      <c r="C67" s="1">
        <v>23</v>
      </c>
      <c r="D67" s="12"/>
      <c r="E67" s="1">
        <v>0.5</v>
      </c>
      <c r="F67" s="1">
        <v>0.45</v>
      </c>
      <c r="G67" s="1">
        <v>0.56000000000000005</v>
      </c>
      <c r="I67" s="1">
        <f t="shared" si="1"/>
        <v>0.57813123497180641</v>
      </c>
      <c r="J67" s="1">
        <f t="shared" si="4"/>
        <v>-0.14519279460243972</v>
      </c>
      <c r="K67" s="1">
        <f t="shared" si="2"/>
        <v>-1.1364037909369389</v>
      </c>
      <c r="M67" s="1">
        <v>8</v>
      </c>
      <c r="N67" s="1">
        <v>-0.24465908447972873</v>
      </c>
      <c r="O67" s="1">
        <f t="shared" si="5"/>
        <v>0.22222222222222221</v>
      </c>
      <c r="P67" s="1">
        <f t="shared" si="3"/>
        <v>-0.76470967378638721</v>
      </c>
      <c r="S67" s="1">
        <v>0.17506945133209229</v>
      </c>
      <c r="T67" s="1">
        <v>0.48971033096313477</v>
      </c>
      <c r="U67" s="1">
        <v>3.5821411292999983E-3</v>
      </c>
    </row>
    <row r="68" spans="1:21" x14ac:dyDescent="0.3">
      <c r="A68" s="13">
        <v>82</v>
      </c>
      <c r="C68" s="1">
        <v>22</v>
      </c>
      <c r="D68" s="12"/>
      <c r="E68" s="1">
        <v>0.75</v>
      </c>
      <c r="F68" s="1">
        <v>0.68500000000000005</v>
      </c>
      <c r="G68" s="1">
        <v>0.85</v>
      </c>
      <c r="I68" s="1">
        <f t="shared" si="1"/>
        <v>0.57607743097469211</v>
      </c>
      <c r="J68" s="1">
        <f t="shared" si="4"/>
        <v>0.26383112609369597</v>
      </c>
      <c r="K68" s="1">
        <f t="shared" si="2"/>
        <v>-1.7481086351103503</v>
      </c>
      <c r="M68" s="1">
        <v>9</v>
      </c>
      <c r="N68" s="1">
        <v>-0.12672388336500084</v>
      </c>
      <c r="O68" s="1">
        <f t="shared" si="5"/>
        <v>0.25</v>
      </c>
      <c r="P68" s="1">
        <f t="shared" si="3"/>
        <v>-0.67448975019608193</v>
      </c>
      <c r="S68" s="1">
        <v>0.20162376761436462</v>
      </c>
      <c r="T68" s="1">
        <v>0.47684377431869507</v>
      </c>
      <c r="U68" s="1">
        <v>2.3438902571797371E-3</v>
      </c>
    </row>
    <row r="69" spans="1:21" x14ac:dyDescent="0.3">
      <c r="A69" s="13">
        <v>82</v>
      </c>
      <c r="C69" s="1">
        <v>12</v>
      </c>
      <c r="E69" s="1">
        <v>0.75</v>
      </c>
      <c r="F69" s="1">
        <v>0.68500000000000005</v>
      </c>
      <c r="G69" s="1">
        <v>0.85</v>
      </c>
      <c r="I69" s="1">
        <f t="shared" si="1"/>
        <v>0.5555393910035491</v>
      </c>
      <c r="J69" s="1">
        <f t="shared" si="4"/>
        <v>0.30013368906725213</v>
      </c>
      <c r="K69" s="1">
        <f t="shared" si="2"/>
        <v>-1.9687391393850899</v>
      </c>
      <c r="M69" s="1">
        <v>10</v>
      </c>
      <c r="N69" s="1">
        <v>-0.12308589107931756</v>
      </c>
      <c r="O69" s="1">
        <f t="shared" si="5"/>
        <v>0.27777777777777779</v>
      </c>
      <c r="P69" s="1">
        <f t="shared" si="3"/>
        <v>-0.58945579784977842</v>
      </c>
      <c r="S69" s="1">
        <v>0.19912412762641907</v>
      </c>
      <c r="T69" s="1">
        <v>0.40323522686958313</v>
      </c>
      <c r="U69" s="1">
        <v>3.9717778563499451E-3</v>
      </c>
    </row>
    <row r="70" spans="1:21" x14ac:dyDescent="0.3">
      <c r="A70" s="13">
        <v>82</v>
      </c>
      <c r="C70" s="1">
        <v>5</v>
      </c>
      <c r="E70" s="1">
        <v>0.5</v>
      </c>
      <c r="F70" s="1">
        <v>0.45</v>
      </c>
      <c r="G70" s="1">
        <v>0.56000000000000005</v>
      </c>
      <c r="I70" s="1">
        <f t="shared" si="1"/>
        <v>0.54116276302374899</v>
      </c>
      <c r="J70" s="1">
        <f t="shared" si="4"/>
        <v>-7.9111991042687957E-2</v>
      </c>
      <c r="K70" s="1">
        <f t="shared" si="2"/>
        <v>-0.99190426936631182</v>
      </c>
      <c r="M70" s="1">
        <v>11</v>
      </c>
      <c r="N70" s="1">
        <v>-0.11763195704799695</v>
      </c>
      <c r="O70" s="1">
        <f t="shared" si="5"/>
        <v>0.30555555555555558</v>
      </c>
      <c r="P70" s="1">
        <f t="shared" si="3"/>
        <v>-0.50848805910935657</v>
      </c>
      <c r="S70" s="1">
        <v>0.15201997756958008</v>
      </c>
      <c r="T70" s="1">
        <v>0.51603978872299194</v>
      </c>
      <c r="U70" s="1">
        <v>2.755515044555068E-3</v>
      </c>
    </row>
    <row r="71" spans="1:21" x14ac:dyDescent="0.3">
      <c r="A71" s="13">
        <v>82</v>
      </c>
      <c r="C71" s="1">
        <v>19</v>
      </c>
      <c r="E71" s="1">
        <v>0.75</v>
      </c>
      <c r="F71" s="1">
        <v>0.68500000000000005</v>
      </c>
      <c r="G71" s="1">
        <v>0.85</v>
      </c>
      <c r="I71" s="1">
        <f t="shared" si="1"/>
        <v>0.5699160189833492</v>
      </c>
      <c r="J71" s="1">
        <f t="shared" si="4"/>
        <v>0.27458419167357606</v>
      </c>
      <c r="K71" s="1">
        <f t="shared" si="2"/>
        <v>-1.8106566778690842</v>
      </c>
      <c r="M71" s="1">
        <v>12</v>
      </c>
      <c r="N71" s="1">
        <v>-8.2169312993556232E-2</v>
      </c>
      <c r="O71" s="1">
        <f t="shared" si="5"/>
        <v>0.33333333333333331</v>
      </c>
      <c r="P71" s="1">
        <f t="shared" si="3"/>
        <v>-0.43072729929545767</v>
      </c>
      <c r="S71" s="1">
        <v>0.21076416969299316</v>
      </c>
      <c r="T71" s="1">
        <v>0.53157001733779907</v>
      </c>
      <c r="U71" s="1">
        <v>2.8270971961319447E-3</v>
      </c>
    </row>
    <row r="72" spans="1:21" x14ac:dyDescent="0.3">
      <c r="A72" s="13">
        <v>82</v>
      </c>
      <c r="C72" s="1">
        <v>55</v>
      </c>
      <c r="E72" s="1">
        <v>0.5</v>
      </c>
      <c r="F72" s="1">
        <v>0.45</v>
      </c>
      <c r="G72" s="1">
        <v>0.56000000000000005</v>
      </c>
      <c r="I72" s="1">
        <f t="shared" si="1"/>
        <v>0.64385296287946403</v>
      </c>
      <c r="J72" s="1">
        <f t="shared" si="4"/>
        <v>-0.25286228310337372</v>
      </c>
      <c r="K72" s="1">
        <f t="shared" si="2"/>
        <v>-1.5613317652954182</v>
      </c>
      <c r="M72" s="1">
        <v>13</v>
      </c>
      <c r="N72" s="1">
        <v>-7.8455831213303295E-2</v>
      </c>
      <c r="O72" s="1">
        <f t="shared" si="5"/>
        <v>0.3611111111111111</v>
      </c>
      <c r="P72" s="1">
        <f t="shared" si="3"/>
        <v>-0.35549041783953095</v>
      </c>
      <c r="S72" s="1">
        <v>0.21372121572494507</v>
      </c>
      <c r="T72" s="1">
        <v>0.47158542275428772</v>
      </c>
      <c r="U72" s="1">
        <v>3.0219301115721464E-3</v>
      </c>
    </row>
    <row r="73" spans="1:21" x14ac:dyDescent="0.3">
      <c r="A73" s="13">
        <v>6</v>
      </c>
      <c r="C73" s="1">
        <v>5</v>
      </c>
      <c r="E73" s="1">
        <v>0.40000000596046448</v>
      </c>
      <c r="F73" s="1">
        <v>0.36499999999999999</v>
      </c>
      <c r="G73" s="1">
        <v>0.45</v>
      </c>
      <c r="I73" s="1">
        <f t="shared" si="1"/>
        <v>0.54116276302374899</v>
      </c>
      <c r="J73" s="1">
        <f t="shared" si="4"/>
        <v>-0.30225552745573669</v>
      </c>
      <c r="K73" s="1">
        <f t="shared" si="2"/>
        <v>-1.8270073219626466</v>
      </c>
      <c r="M73" s="1">
        <v>14</v>
      </c>
      <c r="N73" s="1">
        <v>-5.6707549297520421E-2</v>
      </c>
      <c r="O73" s="1">
        <f t="shared" si="5"/>
        <v>0.3888888888888889</v>
      </c>
      <c r="P73" s="1">
        <f t="shared" si="3"/>
        <v>-0.28221614706250814</v>
      </c>
      <c r="S73" s="1">
        <v>0.14333182573318481</v>
      </c>
      <c r="T73" s="1">
        <v>0.49978792667388916</v>
      </c>
      <c r="U73" s="1">
        <v>2.5299268309026957E-3</v>
      </c>
    </row>
    <row r="74" spans="1:21" x14ac:dyDescent="0.3">
      <c r="A74" s="13">
        <v>6</v>
      </c>
      <c r="C74" s="1">
        <v>99</v>
      </c>
      <c r="E74" s="1">
        <v>0.75</v>
      </c>
      <c r="F74" s="1">
        <v>0.68500000000000005</v>
      </c>
      <c r="G74" s="1">
        <v>0.85</v>
      </c>
      <c r="I74" s="1">
        <f t="shared" si="1"/>
        <v>0.73422033875249326</v>
      </c>
      <c r="J74" s="1">
        <f t="shared" si="4"/>
        <v>2.1264033927459902E-2</v>
      </c>
      <c r="K74" s="1">
        <f t="shared" si="2"/>
        <v>-0.9620076435447642</v>
      </c>
      <c r="M74" s="1">
        <v>15</v>
      </c>
      <c r="N74" s="1">
        <v>-2.7548695686611557E-2</v>
      </c>
      <c r="O74" s="1">
        <f t="shared" si="5"/>
        <v>0.41666666666666669</v>
      </c>
      <c r="P74" s="1">
        <f t="shared" si="3"/>
        <v>-0.21042839424792467</v>
      </c>
      <c r="S74" s="1">
        <v>0.16830903291702271</v>
      </c>
      <c r="T74" s="1">
        <v>0.48978400230407715</v>
      </c>
      <c r="U74" s="1">
        <v>1.8600012408569455E-3</v>
      </c>
    </row>
    <row r="75" spans="1:21" x14ac:dyDescent="0.3">
      <c r="A75" s="13">
        <v>6</v>
      </c>
      <c r="C75" s="1">
        <v>5</v>
      </c>
      <c r="E75" s="1">
        <v>0.62000000476837158</v>
      </c>
      <c r="F75" s="1">
        <v>0.56000000000000005</v>
      </c>
      <c r="G75" s="1">
        <v>0.68500000000000005</v>
      </c>
      <c r="I75" s="1">
        <f t="shared" si="1"/>
        <v>0.54116276302374899</v>
      </c>
      <c r="J75" s="1">
        <f t="shared" si="4"/>
        <v>0.13599939626517937</v>
      </c>
      <c r="K75" s="1">
        <f t="shared" si="2"/>
        <v>-1.1969530296469857</v>
      </c>
      <c r="M75" s="1">
        <v>16</v>
      </c>
      <c r="N75" s="1">
        <v>-2.7548695686611557E-2</v>
      </c>
      <c r="O75" s="1">
        <f t="shared" si="5"/>
        <v>0.44444444444444442</v>
      </c>
      <c r="P75" s="1">
        <f t="shared" si="3"/>
        <v>-0.13971029888186212</v>
      </c>
      <c r="S75" s="1">
        <v>0.18121367692947388</v>
      </c>
      <c r="T75" s="1">
        <v>0.46008011698722839</v>
      </c>
      <c r="U75" s="1">
        <v>3.1676380895078182E-3</v>
      </c>
    </row>
    <row r="76" spans="1:21" x14ac:dyDescent="0.3">
      <c r="A76" s="13">
        <v>6</v>
      </c>
      <c r="C76" s="1">
        <v>82</v>
      </c>
      <c r="E76" s="1">
        <v>0.94999998807907104</v>
      </c>
      <c r="F76" s="1">
        <v>0.85</v>
      </c>
      <c r="G76" s="1">
        <v>1.0249999999999999</v>
      </c>
      <c r="I76" s="1">
        <f t="shared" si="1"/>
        <v>0.69930567080155015</v>
      </c>
      <c r="J76" s="1">
        <f t="shared" si="4"/>
        <v>0.30637402811497289</v>
      </c>
      <c r="K76" s="1">
        <f t="shared" si="2"/>
        <v>-1.9422972341747851</v>
      </c>
      <c r="M76" s="1">
        <v>17</v>
      </c>
      <c r="N76" s="1">
        <v>-2.7548695686611557E-2</v>
      </c>
      <c r="O76" s="1">
        <f t="shared" si="5"/>
        <v>0.47222222222222221</v>
      </c>
      <c r="P76" s="1">
        <f t="shared" si="3"/>
        <v>-6.9684920318455676E-2</v>
      </c>
      <c r="S76" s="1">
        <v>0.21141983568668365</v>
      </c>
      <c r="T76" s="1">
        <v>0.39987125992774963</v>
      </c>
      <c r="U76" s="1">
        <v>5.0084982067346573E-3</v>
      </c>
    </row>
    <row r="77" spans="1:21" x14ac:dyDescent="0.3">
      <c r="A77" s="13">
        <v>6</v>
      </c>
      <c r="C77" s="1">
        <v>82</v>
      </c>
      <c r="E77" s="1">
        <v>0.75</v>
      </c>
      <c r="F77" s="1">
        <v>0.68500000000000005</v>
      </c>
      <c r="G77" s="1">
        <v>0.85</v>
      </c>
      <c r="I77" s="1">
        <f t="shared" si="1"/>
        <v>0.69930567080155015</v>
      </c>
      <c r="J77" s="1">
        <f t="shared" si="4"/>
        <v>6.9985262599088882E-2</v>
      </c>
      <c r="K77" s="1">
        <f t="shared" si="2"/>
        <v>-1.0240668762699641</v>
      </c>
      <c r="M77" s="1">
        <v>18</v>
      </c>
      <c r="N77" s="1">
        <v>-2.151554806667999E-2</v>
      </c>
      <c r="O77" s="1">
        <f t="shared" si="5"/>
        <v>0.5</v>
      </c>
      <c r="P77" s="1">
        <f t="shared" si="3"/>
        <v>0</v>
      </c>
      <c r="S77" s="1">
        <v>0.22021736204624176</v>
      </c>
      <c r="T77" s="1">
        <v>0.49176689982414246</v>
      </c>
      <c r="U77" s="1">
        <v>3.6031997296959162E-3</v>
      </c>
    </row>
    <row r="78" spans="1:21" x14ac:dyDescent="0.3">
      <c r="A78" s="13">
        <v>31</v>
      </c>
      <c r="C78" s="1">
        <v>95</v>
      </c>
      <c r="E78" s="1">
        <v>0.5</v>
      </c>
      <c r="F78" s="1">
        <v>0.45</v>
      </c>
      <c r="G78" s="1">
        <v>0.56000000000000005</v>
      </c>
      <c r="I78" s="1">
        <f t="shared" si="1"/>
        <v>0.72600512276403606</v>
      </c>
      <c r="J78" s="1">
        <f t="shared" si="4"/>
        <v>-0.37294897252651982</v>
      </c>
      <c r="K78" s="1">
        <f t="shared" si="2"/>
        <v>-2.3133423071693398</v>
      </c>
      <c r="M78" s="1">
        <v>19</v>
      </c>
      <c r="N78" s="1">
        <v>-2.151554806667999E-2</v>
      </c>
      <c r="O78" s="1">
        <f t="shared" si="5"/>
        <v>0.52777777777777779</v>
      </c>
      <c r="P78" s="1">
        <f t="shared" si="3"/>
        <v>6.9684920318455676E-2</v>
      </c>
      <c r="S78" s="1">
        <v>0.13695719838142395</v>
      </c>
      <c r="T78" s="1">
        <v>0.45275667309761047</v>
      </c>
      <c r="U78" s="1">
        <v>2.8289188630878925E-3</v>
      </c>
    </row>
    <row r="79" spans="1:21" x14ac:dyDescent="0.3">
      <c r="A79" s="13">
        <v>31</v>
      </c>
      <c r="C79" s="1">
        <v>32</v>
      </c>
      <c r="E79" s="1">
        <v>0.5</v>
      </c>
      <c r="F79" s="1">
        <v>0.45</v>
      </c>
      <c r="G79" s="1">
        <v>0.56000000000000005</v>
      </c>
      <c r="I79" s="1">
        <f t="shared" si="1"/>
        <v>0.59661547094583511</v>
      </c>
      <c r="J79" s="1">
        <f t="shared" si="4"/>
        <v>-0.17666470517914601</v>
      </c>
      <c r="K79" s="1">
        <f t="shared" si="2"/>
        <v>-1.2362966697674584</v>
      </c>
      <c r="M79" s="1">
        <v>20</v>
      </c>
      <c r="N79" s="1">
        <v>-2.151554806667999E-2</v>
      </c>
      <c r="O79" s="1">
        <f t="shared" si="5"/>
        <v>0.55555555555555558</v>
      </c>
      <c r="P79" s="1">
        <f t="shared" si="3"/>
        <v>0.13971029888186212</v>
      </c>
      <c r="S79" s="1">
        <v>0.17737630009651184</v>
      </c>
      <c r="T79" s="1">
        <v>0.45101901888847351</v>
      </c>
      <c r="U79" s="1">
        <v>2.8848184738308191E-3</v>
      </c>
    </row>
    <row r="80" spans="1:21" x14ac:dyDescent="0.3">
      <c r="A80" s="13">
        <v>31</v>
      </c>
      <c r="C80" s="1">
        <v>75</v>
      </c>
      <c r="E80" s="1">
        <v>0.62000000476837158</v>
      </c>
      <c r="F80" s="1">
        <v>0.56000000000000005</v>
      </c>
      <c r="G80" s="1">
        <v>0.68500000000000005</v>
      </c>
      <c r="I80" s="1">
        <f t="shared" si="1"/>
        <v>0.68492904282175004</v>
      </c>
      <c r="J80" s="1">
        <f t="shared" si="4"/>
        <v>-9.9595760045116999E-2</v>
      </c>
      <c r="K80" s="1">
        <f t="shared" si="2"/>
        <v>-1.114118317587347</v>
      </c>
      <c r="M80" s="1">
        <v>21</v>
      </c>
      <c r="N80" s="1">
        <v>7.2721763752300106E-2</v>
      </c>
      <c r="O80" s="1">
        <f t="shared" si="5"/>
        <v>0.58333333333333337</v>
      </c>
      <c r="P80" s="1">
        <f t="shared" si="3"/>
        <v>0.21042839424792484</v>
      </c>
      <c r="S80" s="1">
        <v>0.17517596483230591</v>
      </c>
      <c r="T80" s="1">
        <v>0.47757929563522339</v>
      </c>
      <c r="U80" s="1">
        <v>2.1337810903787613E-3</v>
      </c>
    </row>
    <row r="81" spans="1:21" x14ac:dyDescent="0.3">
      <c r="A81" s="13">
        <v>20</v>
      </c>
      <c r="C81" s="1">
        <v>56.5</v>
      </c>
      <c r="E81" s="1">
        <v>0.94999998807907104</v>
      </c>
      <c r="F81" s="1">
        <v>0.85</v>
      </c>
      <c r="G81" s="1">
        <v>1.0249999999999999</v>
      </c>
      <c r="I81" s="1">
        <f t="shared" si="1"/>
        <v>0.64693366887513548</v>
      </c>
      <c r="J81" s="1">
        <f t="shared" si="4"/>
        <v>0.38421820385950572</v>
      </c>
      <c r="K81" s="1">
        <f t="shared" si="2"/>
        <v>-2.4711877260868111</v>
      </c>
      <c r="M81" s="1">
        <v>22</v>
      </c>
      <c r="N81" s="1">
        <v>9.2025496228549775E-2</v>
      </c>
      <c r="O81" s="1">
        <f t="shared" si="5"/>
        <v>0.61111111111111116</v>
      </c>
      <c r="P81" s="1">
        <f t="shared" si="3"/>
        <v>0.28221614706250825</v>
      </c>
      <c r="S81" s="1">
        <v>0.1950899064540863</v>
      </c>
      <c r="T81" s="1">
        <v>0.43265515565872192</v>
      </c>
      <c r="U81" s="1">
        <v>4.1121523827314377E-3</v>
      </c>
    </row>
    <row r="82" spans="1:21" x14ac:dyDescent="0.3">
      <c r="A82" s="13">
        <v>20</v>
      </c>
      <c r="C82" s="1">
        <v>8</v>
      </c>
      <c r="E82" s="1">
        <v>0.62000000476837158</v>
      </c>
      <c r="F82" s="1">
        <v>0.56000000000000005</v>
      </c>
      <c r="G82" s="1">
        <v>0.68500000000000005</v>
      </c>
      <c r="I82" s="1">
        <f t="shared" si="1"/>
        <v>0.5473241750150919</v>
      </c>
      <c r="J82" s="1">
        <f t="shared" si="4"/>
        <v>0.1246782171413317</v>
      </c>
      <c r="K82" s="1">
        <f t="shared" si="2"/>
        <v>-1.1669591532338897</v>
      </c>
      <c r="M82" s="1">
        <v>23</v>
      </c>
      <c r="N82" s="1">
        <v>9.2025496228549775E-2</v>
      </c>
      <c r="O82" s="1">
        <f t="shared" si="5"/>
        <v>0.63888888888888884</v>
      </c>
      <c r="P82" s="1">
        <f t="shared" si="3"/>
        <v>0.35549041783953067</v>
      </c>
      <c r="S82" s="1">
        <v>0.18155966699123383</v>
      </c>
      <c r="T82" s="1">
        <v>0.5104973316192627</v>
      </c>
      <c r="U82" s="1">
        <v>2.5847828947007656E-3</v>
      </c>
    </row>
    <row r="83" spans="1:21" x14ac:dyDescent="0.3">
      <c r="A83" s="13">
        <v>20</v>
      </c>
      <c r="C83" s="1">
        <v>5</v>
      </c>
      <c r="E83" s="1">
        <v>0.40000000596046448</v>
      </c>
      <c r="F83" s="1">
        <v>0.36499999999999999</v>
      </c>
      <c r="G83" s="1">
        <v>0.45</v>
      </c>
      <c r="I83" s="1">
        <f t="shared" si="1"/>
        <v>0.54116276302374899</v>
      </c>
      <c r="J83" s="1">
        <f t="shared" si="4"/>
        <v>-0.30225552745573669</v>
      </c>
      <c r="K83" s="1">
        <f t="shared" si="2"/>
        <v>-1.8270073219626466</v>
      </c>
      <c r="M83" s="1">
        <v>24</v>
      </c>
      <c r="N83" s="1">
        <v>0.11189788958699376</v>
      </c>
      <c r="O83" s="1">
        <f t="shared" si="5"/>
        <v>0.66666666666666663</v>
      </c>
      <c r="P83" s="1">
        <f t="shared" si="3"/>
        <v>0.4307272992954575</v>
      </c>
      <c r="S83" s="1">
        <v>0.1825043112039566</v>
      </c>
      <c r="T83" s="1">
        <v>0.47574609518051147</v>
      </c>
      <c r="U83" s="1">
        <v>2.401451813057065E-3</v>
      </c>
    </row>
    <row r="84" spans="1:21" x14ac:dyDescent="0.3">
      <c r="A84" s="13">
        <v>44</v>
      </c>
      <c r="C84" s="1">
        <v>55</v>
      </c>
      <c r="E84" s="1">
        <v>0.62000000476837158</v>
      </c>
      <c r="F84" s="1">
        <v>0.56000000000000005</v>
      </c>
      <c r="G84" s="1">
        <v>0.68500000000000005</v>
      </c>
      <c r="I84" s="1">
        <f t="shared" si="1"/>
        <v>0.64385296287946403</v>
      </c>
      <c r="J84" s="1">
        <f t="shared" si="4"/>
        <v>-3.775089579550639E-2</v>
      </c>
      <c r="K84" s="1">
        <f t="shared" si="2"/>
        <v>-1.0257966364541831</v>
      </c>
      <c r="M84" s="1">
        <v>25</v>
      </c>
      <c r="N84" s="1">
        <v>0.1329420743143111</v>
      </c>
      <c r="O84" s="1">
        <f t="shared" si="5"/>
        <v>0.69444444444444442</v>
      </c>
      <c r="P84" s="1">
        <f t="shared" si="3"/>
        <v>0.50848805910935657</v>
      </c>
      <c r="S84" s="1">
        <v>0.16336712241172791</v>
      </c>
      <c r="T84" s="1">
        <v>0.49396497011184692</v>
      </c>
      <c r="U84" s="1">
        <v>2.8225982096046209E-3</v>
      </c>
    </row>
    <row r="85" spans="1:21" x14ac:dyDescent="0.3">
      <c r="A85" s="13">
        <v>44</v>
      </c>
      <c r="C85" s="1">
        <v>33.5</v>
      </c>
      <c r="E85" s="1">
        <v>0.75</v>
      </c>
      <c r="F85" s="1">
        <v>0.68500000000000005</v>
      </c>
      <c r="G85" s="1">
        <v>0.85</v>
      </c>
      <c r="I85" s="1">
        <f t="shared" si="1"/>
        <v>0.59969617694150656</v>
      </c>
      <c r="J85" s="1">
        <f t="shared" si="4"/>
        <v>0.22365005132784366</v>
      </c>
      <c r="K85" s="1">
        <f t="shared" si="2"/>
        <v>-1.5352491049498385</v>
      </c>
      <c r="M85" s="1">
        <v>26</v>
      </c>
      <c r="N85" s="1">
        <v>0.13364617150277663</v>
      </c>
      <c r="O85" s="1">
        <f t="shared" si="5"/>
        <v>0.72222222222222221</v>
      </c>
      <c r="P85" s="1">
        <f t="shared" si="3"/>
        <v>0.58945579784977842</v>
      </c>
      <c r="S85" s="1">
        <v>0.18155409395694733</v>
      </c>
      <c r="T85" s="1">
        <v>0.44369763135910034</v>
      </c>
      <c r="U85" s="1">
        <v>3.930575679987669E-3</v>
      </c>
    </row>
    <row r="86" spans="1:21" x14ac:dyDescent="0.3">
      <c r="A86" s="13">
        <v>32</v>
      </c>
      <c r="C86" s="1">
        <v>101</v>
      </c>
      <c r="E86" s="1">
        <v>0.94999998807907104</v>
      </c>
      <c r="F86" s="1">
        <v>0.85</v>
      </c>
      <c r="G86" s="1">
        <v>1.0249999999999999</v>
      </c>
      <c r="I86" s="1">
        <f t="shared" si="1"/>
        <v>0.73832794674672186</v>
      </c>
      <c r="J86" s="1">
        <f t="shared" si="4"/>
        <v>0.25207387386436092</v>
      </c>
      <c r="K86" s="1">
        <f t="shared" si="2"/>
        <v>-1.6479582234476973</v>
      </c>
      <c r="M86" s="1">
        <v>27</v>
      </c>
      <c r="N86" s="1">
        <v>0.17533528216958583</v>
      </c>
      <c r="O86" s="1">
        <f t="shared" si="5"/>
        <v>0.75</v>
      </c>
      <c r="P86" s="1">
        <f t="shared" si="3"/>
        <v>0.67448975019608193</v>
      </c>
      <c r="S86" s="1">
        <v>0.14222607016563416</v>
      </c>
      <c r="T86" s="1">
        <v>0.45729771256446838</v>
      </c>
      <c r="U86" s="1">
        <v>3.7343390285968781E-3</v>
      </c>
    </row>
    <row r="87" spans="1:21" x14ac:dyDescent="0.3">
      <c r="A87" s="13">
        <v>32</v>
      </c>
      <c r="C87" s="1">
        <v>6</v>
      </c>
      <c r="E87" s="1">
        <v>0.5</v>
      </c>
      <c r="F87" s="1">
        <v>0.45</v>
      </c>
      <c r="G87" s="1">
        <v>0.56000000000000005</v>
      </c>
      <c r="I87" s="1">
        <f t="shared" si="1"/>
        <v>0.54321656702086329</v>
      </c>
      <c r="J87" s="1">
        <f t="shared" si="4"/>
        <v>-8.2899976291054167E-2</v>
      </c>
      <c r="K87" s="1">
        <f t="shared" si="2"/>
        <v>-0.99780103861460645</v>
      </c>
      <c r="M87" s="1">
        <v>28</v>
      </c>
      <c r="N87" s="1">
        <v>0.18756269162125577</v>
      </c>
      <c r="O87" s="1">
        <f t="shared" si="5"/>
        <v>0.77777777777777779</v>
      </c>
      <c r="P87" s="1">
        <f t="shared" si="3"/>
        <v>0.76470967378638721</v>
      </c>
      <c r="S87" s="1">
        <v>0.22774678468704224</v>
      </c>
      <c r="T87" s="1">
        <v>0.46181896328926086</v>
      </c>
      <c r="U87" s="1">
        <v>2.2576432675123215E-3</v>
      </c>
    </row>
    <row r="88" spans="1:21" x14ac:dyDescent="0.3">
      <c r="A88" s="13">
        <v>75</v>
      </c>
      <c r="C88" s="1">
        <v>3</v>
      </c>
      <c r="E88" s="1">
        <v>0.5</v>
      </c>
      <c r="F88" s="1">
        <v>0.45</v>
      </c>
      <c r="G88" s="1">
        <v>0.56000000000000005</v>
      </c>
      <c r="I88" s="1">
        <f t="shared" si="1"/>
        <v>0.53705515502952039</v>
      </c>
      <c r="J88" s="1">
        <f t="shared" si="4"/>
        <v>-7.1492700364587547E-2</v>
      </c>
      <c r="K88" s="1">
        <f t="shared" si="2"/>
        <v>-0.98092193297089592</v>
      </c>
      <c r="M88" s="1">
        <v>29</v>
      </c>
      <c r="N88" s="1">
        <v>0.19359583924118734</v>
      </c>
      <c r="O88" s="1">
        <f t="shared" si="5"/>
        <v>0.80555555555555558</v>
      </c>
      <c r="P88" s="1">
        <f t="shared" si="3"/>
        <v>0.8616341201741734</v>
      </c>
      <c r="S88" s="1">
        <v>0.2134937196969986</v>
      </c>
      <c r="T88" s="1">
        <v>0.4779929518699646</v>
      </c>
      <c r="U88" s="1">
        <v>3.165446687489748E-3</v>
      </c>
    </row>
    <row r="89" spans="1:21" x14ac:dyDescent="0.3">
      <c r="A89" s="13">
        <v>75</v>
      </c>
      <c r="C89" s="1">
        <v>20</v>
      </c>
      <c r="E89" s="1">
        <v>0.40000000596046448</v>
      </c>
      <c r="F89" s="1">
        <v>0.36499999999999999</v>
      </c>
      <c r="G89" s="1">
        <v>0.45</v>
      </c>
      <c r="I89" s="1">
        <f t="shared" si="1"/>
        <v>0.5719698229804635</v>
      </c>
      <c r="J89" s="1">
        <f t="shared" si="4"/>
        <v>-0.35762167095179231</v>
      </c>
      <c r="K89" s="1">
        <f t="shared" si="2"/>
        <v>-2.1851134094561804</v>
      </c>
      <c r="M89" s="1">
        <v>30</v>
      </c>
      <c r="N89" s="1">
        <v>0.19359583924118734</v>
      </c>
      <c r="O89" s="1">
        <f t="shared" si="5"/>
        <v>0.83333333333333337</v>
      </c>
      <c r="P89" s="1">
        <f t="shared" si="3"/>
        <v>0.96742156610170071</v>
      </c>
      <c r="S89" s="1">
        <v>0.22504948079586029</v>
      </c>
      <c r="T89" s="1">
        <v>0.47922268509864807</v>
      </c>
      <c r="U89" s="1">
        <v>2.7728138957172632E-3</v>
      </c>
    </row>
    <row r="90" spans="1:21" x14ac:dyDescent="0.3">
      <c r="A90" s="13">
        <v>62</v>
      </c>
      <c r="C90" s="1">
        <v>15</v>
      </c>
      <c r="E90" s="1">
        <v>0.40000000596046448</v>
      </c>
      <c r="F90" s="1">
        <v>0.36499999999999999</v>
      </c>
      <c r="G90" s="1">
        <v>0.45</v>
      </c>
      <c r="I90" s="1">
        <f t="shared" si="1"/>
        <v>0.561700802994892</v>
      </c>
      <c r="J90" s="1">
        <f t="shared" si="4"/>
        <v>-0.3395047671078768</v>
      </c>
      <c r="K90" s="1">
        <f t="shared" si="2"/>
        <v>-2.0610091079369735</v>
      </c>
      <c r="M90" s="1">
        <v>31</v>
      </c>
      <c r="N90" s="1">
        <v>0.23608737912453581</v>
      </c>
      <c r="O90" s="1">
        <f t="shared" si="5"/>
        <v>0.86111111111111116</v>
      </c>
      <c r="P90" s="1">
        <f t="shared" si="3"/>
        <v>1.0853249080767591</v>
      </c>
      <c r="S90" s="1">
        <v>0.19772657752037048</v>
      </c>
      <c r="T90" s="1">
        <v>0.49917241930961609</v>
      </c>
      <c r="U90" s="1">
        <v>2.234242158010602E-3</v>
      </c>
    </row>
    <row r="91" spans="1:21" x14ac:dyDescent="0.3">
      <c r="A91" s="13">
        <v>62</v>
      </c>
      <c r="C91" s="1">
        <v>95</v>
      </c>
      <c r="E91" s="1">
        <v>0.5</v>
      </c>
      <c r="F91" s="1">
        <v>0.45</v>
      </c>
      <c r="G91" s="1">
        <v>0.56000000000000005</v>
      </c>
      <c r="I91" s="1">
        <f t="shared" si="1"/>
        <v>0.72600512276403606</v>
      </c>
      <c r="J91" s="1">
        <f t="shared" si="4"/>
        <v>-0.37294897252651982</v>
      </c>
      <c r="K91" s="1">
        <f t="shared" si="2"/>
        <v>-2.3133423071693398</v>
      </c>
      <c r="M91" s="1">
        <v>32</v>
      </c>
      <c r="N91" s="1">
        <v>0.37791641242155283</v>
      </c>
      <c r="O91" s="1">
        <f t="shared" si="5"/>
        <v>0.88888888888888884</v>
      </c>
      <c r="P91" s="1">
        <f t="shared" si="3"/>
        <v>1.2206403488473503</v>
      </c>
      <c r="S91" s="1">
        <v>0.18808272480964661</v>
      </c>
      <c r="T91" s="1">
        <v>0.45445001125335693</v>
      </c>
      <c r="U91" s="1">
        <v>3.7172222509980202E-3</v>
      </c>
    </row>
    <row r="92" spans="1:21" x14ac:dyDescent="0.3">
      <c r="A92" s="13">
        <v>62</v>
      </c>
      <c r="C92" s="1">
        <v>4.5</v>
      </c>
      <c r="E92" s="1">
        <v>0.5</v>
      </c>
      <c r="F92" s="1">
        <v>0.45</v>
      </c>
      <c r="G92" s="1">
        <v>0.56000000000000005</v>
      </c>
      <c r="I92" s="1">
        <f t="shared" si="1"/>
        <v>0.54013586102519184</v>
      </c>
      <c r="J92" s="1">
        <f t="shared" si="4"/>
        <v>-7.7212603982637962E-2</v>
      </c>
      <c r="K92" s="1">
        <f t="shared" si="2"/>
        <v>-0.98905669440041954</v>
      </c>
      <c r="M92" s="1">
        <v>33</v>
      </c>
      <c r="N92" s="1">
        <v>0.45571403768282193</v>
      </c>
      <c r="O92" s="1">
        <f t="shared" si="5"/>
        <v>0.91666666666666663</v>
      </c>
      <c r="P92" s="1">
        <f t="shared" si="3"/>
        <v>1.3829941271006372</v>
      </c>
      <c r="S92" s="1">
        <v>0.24345172941684723</v>
      </c>
      <c r="T92" s="1">
        <v>0.47557458281517029</v>
      </c>
      <c r="U92" s="1">
        <v>2.883601002395153E-3</v>
      </c>
    </row>
    <row r="93" spans="1:21" x14ac:dyDescent="0.3">
      <c r="A93" s="13">
        <v>95</v>
      </c>
      <c r="C93" s="1">
        <v>14</v>
      </c>
      <c r="E93" s="1">
        <v>0.62000000476837158</v>
      </c>
      <c r="F93" s="1">
        <v>0.56000000000000005</v>
      </c>
      <c r="G93" s="1">
        <v>0.68500000000000005</v>
      </c>
      <c r="I93" s="1">
        <f t="shared" si="1"/>
        <v>0.5596469989977777</v>
      </c>
      <c r="J93" s="1">
        <f t="shared" si="4"/>
        <v>0.10241325969312692</v>
      </c>
      <c r="K93" s="1">
        <f t="shared" si="2"/>
        <v>-1.1156374976105659</v>
      </c>
      <c r="M93" s="1">
        <v>34</v>
      </c>
      <c r="N93" s="1">
        <v>0.55832755610010765</v>
      </c>
      <c r="O93" s="1">
        <f t="shared" si="5"/>
        <v>0.94444444444444442</v>
      </c>
      <c r="P93" s="1">
        <f t="shared" si="3"/>
        <v>1.59321881802305</v>
      </c>
      <c r="S93" s="1">
        <v>0.20868080854415894</v>
      </c>
      <c r="T93" s="1">
        <v>0.48505008220672607</v>
      </c>
      <c r="U93" s="1">
        <v>2.1295759361237288E-3</v>
      </c>
    </row>
    <row r="94" spans="1:21" x14ac:dyDescent="0.3">
      <c r="A94" s="13">
        <v>95</v>
      </c>
      <c r="C94" s="1">
        <v>15</v>
      </c>
      <c r="E94" s="1">
        <v>0.62000000476837158</v>
      </c>
      <c r="F94" s="1">
        <v>0.56000000000000005</v>
      </c>
      <c r="G94" s="1">
        <v>0.68500000000000005</v>
      </c>
      <c r="I94" s="1">
        <f t="shared" si="1"/>
        <v>0.561700802994892</v>
      </c>
      <c r="J94" s="1">
        <f t="shared" si="4"/>
        <v>9.8750156613039264E-2</v>
      </c>
      <c r="K94" s="1">
        <f t="shared" si="2"/>
        <v>-1.1081673799802092</v>
      </c>
      <c r="M94" s="1">
        <v>35</v>
      </c>
      <c r="N94" s="1">
        <v>0.55832755610010765</v>
      </c>
      <c r="O94" s="1">
        <f t="shared" si="5"/>
        <v>0.97222222222222221</v>
      </c>
      <c r="P94" s="1">
        <f t="shared" si="3"/>
        <v>1.9145058250555569</v>
      </c>
      <c r="S94" s="1">
        <v>0.20484225451946259</v>
      </c>
      <c r="T94" s="1">
        <v>0.45209380984306335</v>
      </c>
      <c r="U94" s="1">
        <v>2.8536512982100248E-3</v>
      </c>
    </row>
    <row r="95" spans="1:21" x14ac:dyDescent="0.3">
      <c r="A95" s="13">
        <v>95</v>
      </c>
      <c r="S95" s="1">
        <v>0.1568741649389267</v>
      </c>
      <c r="T95" s="1">
        <v>0.48427456617355347</v>
      </c>
      <c r="U95" s="1">
        <v>3.28587437979877E-3</v>
      </c>
    </row>
    <row r="96" spans="1:21" x14ac:dyDescent="0.3">
      <c r="A96" s="14">
        <v>4</v>
      </c>
      <c r="S96" s="1">
        <v>0.16396947205066681</v>
      </c>
      <c r="T96" s="1">
        <v>0.46226570010185242</v>
      </c>
      <c r="U96" s="1">
        <v>2.3381421342492104E-3</v>
      </c>
    </row>
    <row r="97" spans="1:21" x14ac:dyDescent="0.3">
      <c r="A97" s="14">
        <v>4</v>
      </c>
      <c r="S97" s="1">
        <v>0.15327504277229309</v>
      </c>
      <c r="T97" s="1">
        <v>0.54306656122207642</v>
      </c>
      <c r="U97" s="1">
        <v>1.4575304230675101E-3</v>
      </c>
    </row>
    <row r="98" spans="1:21" x14ac:dyDescent="0.3">
      <c r="A98" s="14">
        <v>5</v>
      </c>
      <c r="S98" s="1">
        <v>0.15274383127689362</v>
      </c>
      <c r="T98" s="1">
        <v>0.54383659362792969</v>
      </c>
      <c r="U98" s="1">
        <v>1.4142348663881421E-3</v>
      </c>
    </row>
    <row r="99" spans="1:21" x14ac:dyDescent="0.3">
      <c r="A99" s="14">
        <v>5</v>
      </c>
      <c r="S99" s="1">
        <v>0.20072910189628601</v>
      </c>
      <c r="T99" s="1">
        <v>0.48870837688446045</v>
      </c>
      <c r="U99" s="1">
        <v>3.1519175972789526E-3</v>
      </c>
    </row>
    <row r="100" spans="1:21" x14ac:dyDescent="0.3">
      <c r="A100" s="14">
        <v>5</v>
      </c>
      <c r="S100" s="1">
        <v>0.18671931326389313</v>
      </c>
      <c r="T100" s="1">
        <v>0.46717590093612671</v>
      </c>
      <c r="U100" s="1">
        <v>3.9260950870811939E-3</v>
      </c>
    </row>
    <row r="101" spans="1:21" x14ac:dyDescent="0.3">
      <c r="A101" s="14">
        <v>5</v>
      </c>
      <c r="S101" s="1">
        <v>0.17716231942176819</v>
      </c>
      <c r="T101" s="1">
        <v>0.46007940173149109</v>
      </c>
      <c r="U101" s="1">
        <v>2.6811459101736546E-3</v>
      </c>
    </row>
    <row r="102" spans="1:21" x14ac:dyDescent="0.3">
      <c r="A102" s="14">
        <v>5</v>
      </c>
      <c r="S102" s="1">
        <v>0.17000555992126465</v>
      </c>
      <c r="T102" s="1">
        <v>0.49184659123420715</v>
      </c>
      <c r="U102" s="1">
        <v>3.2777315936982632E-3</v>
      </c>
    </row>
    <row r="103" spans="1:21" x14ac:dyDescent="0.3">
      <c r="A103" s="14">
        <v>5</v>
      </c>
      <c r="S103" s="1">
        <v>0.2565034031867981</v>
      </c>
      <c r="T103" s="1">
        <v>0.46236139535903931</v>
      </c>
      <c r="U103" s="1">
        <v>2.3345982190221548E-3</v>
      </c>
    </row>
    <row r="104" spans="1:21" x14ac:dyDescent="0.3">
      <c r="A104" s="14">
        <v>5</v>
      </c>
      <c r="S104" s="1">
        <v>0.22018998861312866</v>
      </c>
      <c r="T104" s="1">
        <v>0.46882694959640503</v>
      </c>
      <c r="U104" s="1">
        <v>3.2455082982778549E-3</v>
      </c>
    </row>
    <row r="105" spans="1:21" x14ac:dyDescent="0.3">
      <c r="A105" s="14">
        <v>5</v>
      </c>
      <c r="S105" s="1">
        <v>0.18899491429328918</v>
      </c>
      <c r="T105" s="1">
        <v>0.47310823202133179</v>
      </c>
      <c r="U105" s="1">
        <v>3.2126945443451405E-3</v>
      </c>
    </row>
    <row r="106" spans="1:21" x14ac:dyDescent="0.3">
      <c r="A106" s="14">
        <v>5</v>
      </c>
      <c r="S106" s="1">
        <v>0.20937217772006989</v>
      </c>
      <c r="T106" s="1">
        <v>0.49006512761116028</v>
      </c>
      <c r="U106" s="1">
        <v>2.6194259990006685E-3</v>
      </c>
    </row>
    <row r="107" spans="1:21" x14ac:dyDescent="0.3">
      <c r="A107" s="14">
        <v>5</v>
      </c>
      <c r="S107" s="1">
        <v>0.19015869498252869</v>
      </c>
      <c r="T107" s="1">
        <v>0.47906133532524109</v>
      </c>
      <c r="U107" s="1">
        <v>3.6592627875506878E-3</v>
      </c>
    </row>
    <row r="108" spans="1:21" x14ac:dyDescent="0.3">
      <c r="A108" s="14">
        <v>5</v>
      </c>
      <c r="S108" s="1">
        <v>0.17268700897693634</v>
      </c>
      <c r="T108" s="1">
        <v>0.45537549257278442</v>
      </c>
      <c r="U108" s="1">
        <v>4.4118287041783333E-3</v>
      </c>
    </row>
    <row r="109" spans="1:21" x14ac:dyDescent="0.3">
      <c r="A109" s="14">
        <v>5</v>
      </c>
      <c r="S109" s="1">
        <v>0.1647200733423233</v>
      </c>
      <c r="T109" s="1">
        <v>0.46705985069274902</v>
      </c>
      <c r="U109" s="1">
        <v>2.9193833470344543E-3</v>
      </c>
    </row>
    <row r="110" spans="1:21" x14ac:dyDescent="0.3">
      <c r="A110" s="14">
        <v>5</v>
      </c>
      <c r="S110" s="1">
        <v>0.19706772267818451</v>
      </c>
      <c r="T110" s="1">
        <v>0.52295070886611938</v>
      </c>
      <c r="U110" s="1">
        <v>1.3734985841438174E-3</v>
      </c>
    </row>
    <row r="111" spans="1:21" x14ac:dyDescent="0.3">
      <c r="A111" s="14">
        <v>6</v>
      </c>
      <c r="S111" s="1">
        <v>0.23690018057823181</v>
      </c>
      <c r="T111" s="1">
        <v>0.47214078903198242</v>
      </c>
      <c r="U111" s="1">
        <v>3.0987090431153774E-3</v>
      </c>
    </row>
    <row r="112" spans="1:21" x14ac:dyDescent="0.3">
      <c r="A112" s="14">
        <v>6</v>
      </c>
      <c r="S112" s="1">
        <v>0.19352896511554718</v>
      </c>
      <c r="T112" s="1">
        <v>0.47645604610443115</v>
      </c>
      <c r="U112" s="1">
        <v>2.2340132854878902E-3</v>
      </c>
    </row>
    <row r="113" spans="1:21" x14ac:dyDescent="0.3">
      <c r="A113" s="14">
        <v>6</v>
      </c>
      <c r="S113" s="1">
        <v>0.19424629211425781</v>
      </c>
      <c r="T113" s="1">
        <v>0.44909995794296265</v>
      </c>
      <c r="U113" s="1">
        <v>4.1430960409343243E-3</v>
      </c>
    </row>
    <row r="114" spans="1:21" x14ac:dyDescent="0.3">
      <c r="A114" s="14">
        <v>6</v>
      </c>
      <c r="S114" s="1">
        <v>0.17264924943447113</v>
      </c>
      <c r="T114" s="1">
        <v>0.4924786388874054</v>
      </c>
      <c r="U114" s="1">
        <v>2.0396951586008072E-3</v>
      </c>
    </row>
    <row r="115" spans="1:21" x14ac:dyDescent="0.3">
      <c r="A115" s="14">
        <v>6</v>
      </c>
      <c r="S115" s="1">
        <v>0.14657787978649139</v>
      </c>
      <c r="T115" s="1">
        <v>0.50220870971679688</v>
      </c>
      <c r="U115" s="1">
        <v>2.1586709190160036E-3</v>
      </c>
    </row>
    <row r="116" spans="1:21" x14ac:dyDescent="0.3">
      <c r="A116" s="14">
        <v>6</v>
      </c>
      <c r="S116" s="1">
        <v>0.18791311979293823</v>
      </c>
      <c r="T116" s="1">
        <v>0.46162286400794983</v>
      </c>
      <c r="U116" s="1">
        <v>3.2060644589364529E-3</v>
      </c>
    </row>
    <row r="117" spans="1:21" x14ac:dyDescent="0.3">
      <c r="A117" s="14">
        <v>6</v>
      </c>
      <c r="S117" s="1">
        <v>0.19918583333492279</v>
      </c>
      <c r="T117" s="1">
        <v>0.4991699755191803</v>
      </c>
      <c r="U117" s="1">
        <v>2.3317781742662191E-3</v>
      </c>
    </row>
    <row r="118" spans="1:21" x14ac:dyDescent="0.3">
      <c r="A118" s="14">
        <v>6</v>
      </c>
      <c r="S118" s="1">
        <v>0.16378366947174072</v>
      </c>
      <c r="T118" s="1">
        <v>0.53057187795639038</v>
      </c>
      <c r="U118" s="1">
        <v>1.0515599278733134E-3</v>
      </c>
    </row>
    <row r="119" spans="1:21" x14ac:dyDescent="0.3">
      <c r="A119" s="14">
        <v>6</v>
      </c>
      <c r="S119" s="1">
        <v>0.16756811738014221</v>
      </c>
      <c r="T119" s="1">
        <v>0.4945925772190094</v>
      </c>
      <c r="U119" s="1">
        <v>2.2702126298099756E-3</v>
      </c>
    </row>
    <row r="120" spans="1:21" x14ac:dyDescent="0.3">
      <c r="A120" s="14">
        <v>7.5</v>
      </c>
      <c r="S120" s="1">
        <v>0.17584006488323212</v>
      </c>
      <c r="T120" s="1">
        <v>0.48192963004112244</v>
      </c>
      <c r="U120" s="1">
        <v>3.7390675861388445E-3</v>
      </c>
    </row>
    <row r="121" spans="1:21" x14ac:dyDescent="0.3">
      <c r="A121" s="14">
        <v>7.5</v>
      </c>
      <c r="S121" s="1">
        <v>0.16384531557559967</v>
      </c>
      <c r="T121" s="1">
        <v>0.49374663829803467</v>
      </c>
      <c r="U121" s="1">
        <v>1.9772911909967661E-3</v>
      </c>
    </row>
    <row r="122" spans="1:21" x14ac:dyDescent="0.3">
      <c r="A122" s="14">
        <v>7.5</v>
      </c>
      <c r="S122" s="1">
        <v>0.18342287838459015</v>
      </c>
      <c r="T122" s="1">
        <v>0.49570193886756897</v>
      </c>
      <c r="U122" s="1">
        <v>2.7070706710219383E-3</v>
      </c>
    </row>
    <row r="123" spans="1:21" x14ac:dyDescent="0.3">
      <c r="A123" s="14">
        <v>7.5</v>
      </c>
      <c r="S123" s="1">
        <v>0.19385124742984772</v>
      </c>
      <c r="T123" s="1">
        <v>0.45522716641426086</v>
      </c>
      <c r="U123" s="1">
        <v>2.3952980991452932E-3</v>
      </c>
    </row>
    <row r="124" spans="1:21" x14ac:dyDescent="0.3">
      <c r="A124" s="14">
        <v>7.5</v>
      </c>
      <c r="S124" s="1">
        <v>0.19360293447971344</v>
      </c>
      <c r="T124" s="1">
        <v>0.4645831286907196</v>
      </c>
      <c r="U124" s="1">
        <v>3.6522198934108019E-3</v>
      </c>
    </row>
    <row r="125" spans="1:21" x14ac:dyDescent="0.3">
      <c r="A125" s="14">
        <v>11.5</v>
      </c>
      <c r="S125" s="1">
        <v>0.19103620946407318</v>
      </c>
      <c r="T125" s="1">
        <v>0.4636320173740387</v>
      </c>
      <c r="U125" s="1">
        <v>3.2750894315540791E-3</v>
      </c>
    </row>
    <row r="126" spans="1:21" x14ac:dyDescent="0.3">
      <c r="A126" s="14">
        <v>11.5</v>
      </c>
      <c r="S126" s="1">
        <v>0.16233988106250763</v>
      </c>
      <c r="T126" s="1">
        <v>0.47391009330749512</v>
      </c>
      <c r="U126" s="1">
        <v>3.3198748715221882E-3</v>
      </c>
    </row>
    <row r="127" spans="1:21" x14ac:dyDescent="0.3">
      <c r="A127" s="14">
        <v>15</v>
      </c>
      <c r="S127" s="1">
        <v>0.19123917818069458</v>
      </c>
      <c r="T127" s="1">
        <v>0.44492116570472717</v>
      </c>
      <c r="U127" s="1">
        <v>4.3644323013722897E-3</v>
      </c>
    </row>
    <row r="128" spans="1:21" x14ac:dyDescent="0.3">
      <c r="A128" s="14">
        <v>15</v>
      </c>
      <c r="S128" s="1">
        <v>0.17050540447235107</v>
      </c>
      <c r="T128" s="1">
        <v>0.48140087723731995</v>
      </c>
      <c r="U128" s="1">
        <v>3.5373121500015259E-3</v>
      </c>
    </row>
    <row r="129" spans="1:21" x14ac:dyDescent="0.3">
      <c r="A129" s="14">
        <v>19</v>
      </c>
      <c r="S129" s="1">
        <v>0.16586877405643463</v>
      </c>
      <c r="T129" s="1">
        <v>0.52392536401748657</v>
      </c>
      <c r="U129" s="1">
        <v>2.931555500254035E-3</v>
      </c>
    </row>
    <row r="130" spans="1:21" x14ac:dyDescent="0.3">
      <c r="A130" s="14">
        <v>19</v>
      </c>
      <c r="S130" s="1">
        <v>0.20382507145404816</v>
      </c>
      <c r="T130" s="1">
        <v>0.44793736934661865</v>
      </c>
      <c r="U130" s="1">
        <v>3.1622149981558323E-3</v>
      </c>
    </row>
    <row r="131" spans="1:21" x14ac:dyDescent="0.3">
      <c r="A131" s="14">
        <v>19</v>
      </c>
      <c r="S131" s="1">
        <v>0.18127693235874176</v>
      </c>
      <c r="T131" s="1">
        <v>0.47385796904563904</v>
      </c>
      <c r="U131" s="1">
        <v>3.1636194325983524E-3</v>
      </c>
    </row>
    <row r="132" spans="1:21" x14ac:dyDescent="0.3">
      <c r="A132" s="14">
        <v>21</v>
      </c>
      <c r="S132" s="1">
        <v>0.2075650691986084</v>
      </c>
      <c r="T132" s="1">
        <v>0.43471968173980713</v>
      </c>
      <c r="U132" s="1">
        <v>4.5719612389802933E-3</v>
      </c>
    </row>
    <row r="133" spans="1:21" x14ac:dyDescent="0.3">
      <c r="A133" s="14">
        <v>21</v>
      </c>
      <c r="S133" s="1">
        <v>0.20742121338844299</v>
      </c>
      <c r="T133" s="1">
        <v>0.49472102522850037</v>
      </c>
      <c r="U133" s="1">
        <v>2.6141372509300709E-3</v>
      </c>
    </row>
    <row r="134" spans="1:21" x14ac:dyDescent="0.3">
      <c r="A134" s="14">
        <v>21</v>
      </c>
      <c r="S134" s="1">
        <v>0.19346912205219269</v>
      </c>
      <c r="T134" s="1">
        <v>0.4305327832698822</v>
      </c>
      <c r="U134" s="1">
        <v>4.025088157504797E-3</v>
      </c>
    </row>
    <row r="135" spans="1:21" x14ac:dyDescent="0.3">
      <c r="A135" s="14">
        <v>23</v>
      </c>
      <c r="S135" s="1">
        <v>0.1795041412115097</v>
      </c>
      <c r="T135" s="1">
        <v>0.50866430997848511</v>
      </c>
      <c r="U135" s="1">
        <v>2.2772178053855896E-3</v>
      </c>
    </row>
    <row r="136" spans="1:21" x14ac:dyDescent="0.3">
      <c r="A136" s="14">
        <v>23</v>
      </c>
      <c r="S136" s="1">
        <v>0.20980119705200195</v>
      </c>
      <c r="T136" s="1">
        <v>0.45738804340362549</v>
      </c>
      <c r="U136" s="1">
        <v>2.8234834317117929E-3</v>
      </c>
    </row>
    <row r="137" spans="1:21" x14ac:dyDescent="0.3">
      <c r="A137" s="14">
        <v>23</v>
      </c>
      <c r="S137" s="1">
        <v>0.19284181296825409</v>
      </c>
      <c r="T137" s="1">
        <v>0.514903724193573</v>
      </c>
      <c r="U137" s="1">
        <v>2.4383673444390297E-3</v>
      </c>
    </row>
    <row r="138" spans="1:21" x14ac:dyDescent="0.3">
      <c r="A138" s="14">
        <v>27</v>
      </c>
      <c r="S138" s="1">
        <v>0.19836385548114777</v>
      </c>
      <c r="T138" s="1">
        <v>0.50236392021179199</v>
      </c>
      <c r="U138" s="1">
        <v>2.2961369249969721E-3</v>
      </c>
    </row>
    <row r="139" spans="1:21" x14ac:dyDescent="0.3">
      <c r="A139" s="14">
        <v>27</v>
      </c>
      <c r="S139" s="1">
        <v>0.21200920641422272</v>
      </c>
      <c r="T139" s="1">
        <v>0.46408188343048096</v>
      </c>
      <c r="U139" s="1">
        <v>2.9916483908891678E-3</v>
      </c>
    </row>
    <row r="140" spans="1:21" x14ac:dyDescent="0.3">
      <c r="A140" s="14">
        <v>30</v>
      </c>
      <c r="S140" s="1">
        <v>0.19656218588352203</v>
      </c>
      <c r="T140" s="1">
        <v>0.50042504072189331</v>
      </c>
      <c r="U140" s="1">
        <v>1.4569140039384365E-3</v>
      </c>
    </row>
    <row r="141" spans="1:21" x14ac:dyDescent="0.3">
      <c r="A141" s="14">
        <v>30</v>
      </c>
      <c r="S141" s="1">
        <v>0.20012331008911133</v>
      </c>
      <c r="T141" s="1">
        <v>0.46596917510032654</v>
      </c>
      <c r="U141" s="1">
        <v>2.8153113089501858E-3</v>
      </c>
    </row>
    <row r="142" spans="1:21" x14ac:dyDescent="0.3">
      <c r="A142" s="14">
        <v>30</v>
      </c>
      <c r="S142" s="1">
        <v>0.19283223152160645</v>
      </c>
      <c r="T142" s="1">
        <v>0.44429188966751099</v>
      </c>
      <c r="U142" s="1">
        <v>3.9029894396662712E-3</v>
      </c>
    </row>
    <row r="143" spans="1:21" x14ac:dyDescent="0.3">
      <c r="A143" s="14">
        <v>30</v>
      </c>
      <c r="S143" s="1">
        <v>0.17738652229309082</v>
      </c>
      <c r="T143" s="1">
        <v>0.49429163336753845</v>
      </c>
      <c r="U143" s="1">
        <v>1.3304395833984017E-3</v>
      </c>
    </row>
    <row r="144" spans="1:21" x14ac:dyDescent="0.3">
      <c r="A144" s="14">
        <v>38</v>
      </c>
      <c r="S144" s="1">
        <v>0.19158011674880981</v>
      </c>
      <c r="T144" s="1">
        <v>0.50202053785324097</v>
      </c>
      <c r="U144" s="1">
        <v>2.9893601313233376E-3</v>
      </c>
    </row>
    <row r="145" spans="1:21" x14ac:dyDescent="0.3">
      <c r="A145" s="14">
        <v>38</v>
      </c>
      <c r="S145" s="1">
        <v>0.1616576761007309</v>
      </c>
      <c r="T145" s="1">
        <v>0.47166463732719421</v>
      </c>
      <c r="U145" s="1">
        <v>3.8723344914615154E-3</v>
      </c>
    </row>
    <row r="146" spans="1:21" x14ac:dyDescent="0.3">
      <c r="A146" s="14">
        <v>38</v>
      </c>
      <c r="S146" s="1">
        <v>0.18653170764446259</v>
      </c>
      <c r="T146" s="1">
        <v>0.45195081830024719</v>
      </c>
      <c r="U146" s="1">
        <v>4.7509283758699894E-3</v>
      </c>
    </row>
    <row r="147" spans="1:21" x14ac:dyDescent="0.3">
      <c r="A147" s="14">
        <v>49</v>
      </c>
      <c r="S147" s="1">
        <v>0.19953207671642303</v>
      </c>
      <c r="T147" s="1">
        <v>0.48658585548400879</v>
      </c>
      <c r="U147" s="1">
        <v>2.8130174614489079E-3</v>
      </c>
    </row>
    <row r="148" spans="1:21" x14ac:dyDescent="0.3">
      <c r="A148" s="14">
        <v>49</v>
      </c>
      <c r="S148" s="1">
        <v>0.20563104748725891</v>
      </c>
      <c r="T148" s="1">
        <v>0.51037412881851196</v>
      </c>
      <c r="U148" s="1">
        <v>1.612309250049293E-3</v>
      </c>
    </row>
    <row r="149" spans="1:21" x14ac:dyDescent="0.3">
      <c r="A149" s="14">
        <v>49</v>
      </c>
      <c r="S149" s="1">
        <v>0.21004483103752136</v>
      </c>
      <c r="T149" s="1">
        <v>0.47684851288795471</v>
      </c>
      <c r="U149" s="1">
        <v>2.7759561780840158E-3</v>
      </c>
    </row>
    <row r="150" spans="1:21" x14ac:dyDescent="0.3">
      <c r="A150" s="14">
        <v>60</v>
      </c>
      <c r="S150" s="1">
        <v>0.19296176731586456</v>
      </c>
      <c r="T150" s="1">
        <v>0.4365336000919342</v>
      </c>
      <c r="U150" s="1">
        <v>3.7357679102569818E-3</v>
      </c>
    </row>
    <row r="151" spans="1:21" x14ac:dyDescent="0.3">
      <c r="A151" s="14">
        <v>60</v>
      </c>
      <c r="S151" s="1">
        <v>0.20485383272171021</v>
      </c>
      <c r="T151" s="1">
        <v>0.46915850043296814</v>
      </c>
      <c r="U151" s="1">
        <v>2.1973489783704281E-3</v>
      </c>
    </row>
    <row r="152" spans="1:21" x14ac:dyDescent="0.3">
      <c r="A152" s="14">
        <v>72</v>
      </c>
      <c r="S152" s="1">
        <v>0.225042924284935</v>
      </c>
      <c r="T152" s="1">
        <v>0.49839979410171509</v>
      </c>
      <c r="U152" s="1">
        <v>2.9305208008736372E-3</v>
      </c>
    </row>
    <row r="153" spans="1:21" x14ac:dyDescent="0.3">
      <c r="A153" s="14">
        <v>72</v>
      </c>
      <c r="S153" s="1">
        <v>0.21194906532764435</v>
      </c>
      <c r="T153" s="1">
        <v>0.42373237013816833</v>
      </c>
      <c r="U153" s="1">
        <v>4.1250823996961117E-3</v>
      </c>
    </row>
    <row r="154" spans="1:21" x14ac:dyDescent="0.3">
      <c r="A154" s="14">
        <v>101</v>
      </c>
      <c r="S154" s="1">
        <v>0.18673144280910492</v>
      </c>
      <c r="T154" s="1">
        <v>0.41154021024703979</v>
      </c>
      <c r="U154" s="1">
        <v>4.5368708670139313E-3</v>
      </c>
    </row>
    <row r="155" spans="1:21" x14ac:dyDescent="0.3">
      <c r="A155" s="14">
        <v>101</v>
      </c>
      <c r="S155" s="1">
        <v>0.18676353991031647</v>
      </c>
      <c r="T155" s="1">
        <v>0.48400837182998657</v>
      </c>
      <c r="U155" s="1">
        <v>3.5895530600100756E-3</v>
      </c>
    </row>
    <row r="156" spans="1:21" x14ac:dyDescent="0.3">
      <c r="A156" s="14">
        <v>101</v>
      </c>
      <c r="S156" s="1">
        <v>0.19922605156898499</v>
      </c>
      <c r="T156" s="1">
        <v>0.47236192226409912</v>
      </c>
      <c r="U156" s="1">
        <v>3.0050871428102255E-3</v>
      </c>
    </row>
    <row r="157" spans="1:21" x14ac:dyDescent="0.3">
      <c r="A157" s="14">
        <v>106</v>
      </c>
      <c r="S157" s="1">
        <v>0.17030228674411774</v>
      </c>
      <c r="T157" s="1">
        <v>0.48892724514007568</v>
      </c>
      <c r="U157" s="1">
        <v>2.7425808366388083E-3</v>
      </c>
    </row>
    <row r="158" spans="1:21" x14ac:dyDescent="0.3">
      <c r="A158" s="14">
        <v>106</v>
      </c>
      <c r="S158" s="1">
        <v>0.15207985043525696</v>
      </c>
      <c r="T158" s="1">
        <v>0.48554089665412903</v>
      </c>
      <c r="U158" s="1">
        <v>2.7666431851685047E-3</v>
      </c>
    </row>
    <row r="159" spans="1:21" x14ac:dyDescent="0.3">
      <c r="A159" s="14">
        <v>106</v>
      </c>
      <c r="S159" s="1">
        <v>0.21279899775981903</v>
      </c>
      <c r="T159" s="1">
        <v>0.53089374303817749</v>
      </c>
      <c r="U159" s="1">
        <v>2.0538039971143007E-3</v>
      </c>
    </row>
    <row r="160" spans="1:21" x14ac:dyDescent="0.3">
      <c r="A160" s="14">
        <v>125</v>
      </c>
    </row>
    <row r="161" spans="1:1" x14ac:dyDescent="0.3">
      <c r="A161" s="14">
        <v>125</v>
      </c>
    </row>
    <row r="162" spans="1:1" x14ac:dyDescent="0.3">
      <c r="A162" s="14">
        <v>125</v>
      </c>
    </row>
    <row r="163" spans="1:1" x14ac:dyDescent="0.3">
      <c r="A163" s="15">
        <v>6</v>
      </c>
    </row>
    <row r="164" spans="1:1" x14ac:dyDescent="0.3">
      <c r="A164" s="15">
        <v>6</v>
      </c>
    </row>
    <row r="165" spans="1:1" x14ac:dyDescent="0.3">
      <c r="A165" s="15">
        <v>6</v>
      </c>
    </row>
    <row r="166" spans="1:1" x14ac:dyDescent="0.3">
      <c r="A166" s="15">
        <v>38</v>
      </c>
    </row>
    <row r="167" spans="1:1" x14ac:dyDescent="0.3">
      <c r="A167" s="15">
        <v>38</v>
      </c>
    </row>
    <row r="168" spans="1:1" x14ac:dyDescent="0.3">
      <c r="A168" s="15">
        <v>38</v>
      </c>
    </row>
    <row r="169" spans="1:1" x14ac:dyDescent="0.3">
      <c r="A169" s="15">
        <v>42</v>
      </c>
    </row>
    <row r="170" spans="1:1" x14ac:dyDescent="0.3">
      <c r="A170" s="15">
        <v>42</v>
      </c>
    </row>
    <row r="171" spans="1:1" x14ac:dyDescent="0.3">
      <c r="A171" s="15">
        <v>42</v>
      </c>
    </row>
    <row r="172" spans="1:1" x14ac:dyDescent="0.3">
      <c r="A172" s="15">
        <v>42</v>
      </c>
    </row>
    <row r="173" spans="1:1" x14ac:dyDescent="0.3">
      <c r="A173" s="15">
        <v>42</v>
      </c>
    </row>
    <row r="174" spans="1:1" x14ac:dyDescent="0.3">
      <c r="A174" s="15">
        <v>42</v>
      </c>
    </row>
    <row r="175" spans="1:1" x14ac:dyDescent="0.3">
      <c r="A175" s="15">
        <v>55</v>
      </c>
    </row>
    <row r="176" spans="1:1" x14ac:dyDescent="0.3">
      <c r="A176" s="15">
        <v>55</v>
      </c>
    </row>
    <row r="177" spans="1:1" x14ac:dyDescent="0.3">
      <c r="A177" s="15">
        <v>55</v>
      </c>
    </row>
    <row r="178" spans="1:1" x14ac:dyDescent="0.3">
      <c r="A178" s="15">
        <v>55</v>
      </c>
    </row>
    <row r="179" spans="1:1" x14ac:dyDescent="0.3">
      <c r="A179" s="15">
        <v>55</v>
      </c>
    </row>
    <row r="180" spans="1:1" x14ac:dyDescent="0.3">
      <c r="A180" s="15">
        <v>55</v>
      </c>
    </row>
    <row r="181" spans="1:1" x14ac:dyDescent="0.3">
      <c r="A181" s="15">
        <v>56.5</v>
      </c>
    </row>
    <row r="182" spans="1:1" x14ac:dyDescent="0.3">
      <c r="A182" s="15">
        <v>56.5</v>
      </c>
    </row>
    <row r="183" spans="1:1" x14ac:dyDescent="0.3">
      <c r="A183" s="15">
        <v>56.5</v>
      </c>
    </row>
    <row r="184" spans="1:1" x14ac:dyDescent="0.3">
      <c r="A184" s="15">
        <v>31</v>
      </c>
    </row>
    <row r="185" spans="1:1" x14ac:dyDescent="0.3">
      <c r="A185" s="15">
        <v>31</v>
      </c>
    </row>
    <row r="186" spans="1:1" x14ac:dyDescent="0.3">
      <c r="A186" s="15">
        <v>31</v>
      </c>
    </row>
    <row r="187" spans="1:1" x14ac:dyDescent="0.3">
      <c r="A187" s="15">
        <v>5</v>
      </c>
    </row>
    <row r="188" spans="1:1" x14ac:dyDescent="0.3">
      <c r="A188" s="15">
        <v>5</v>
      </c>
    </row>
    <row r="189" spans="1:1" x14ac:dyDescent="0.3">
      <c r="A189" s="15">
        <v>5</v>
      </c>
    </row>
    <row r="190" spans="1:1" x14ac:dyDescent="0.3">
      <c r="A190" s="15">
        <v>25</v>
      </c>
    </row>
    <row r="191" spans="1:1" x14ac:dyDescent="0.3">
      <c r="A191" s="15">
        <v>25</v>
      </c>
    </row>
    <row r="192" spans="1:1" x14ac:dyDescent="0.3">
      <c r="A192" s="15">
        <v>4</v>
      </c>
    </row>
    <row r="193" spans="1:1" x14ac:dyDescent="0.3">
      <c r="A193" s="15">
        <v>4</v>
      </c>
    </row>
    <row r="194" spans="1:1" x14ac:dyDescent="0.3">
      <c r="A194" s="15">
        <v>4</v>
      </c>
    </row>
    <row r="195" spans="1:1" x14ac:dyDescent="0.3">
      <c r="A195" s="15">
        <v>4</v>
      </c>
    </row>
    <row r="196" spans="1:1" x14ac:dyDescent="0.3">
      <c r="A196" s="15">
        <v>14</v>
      </c>
    </row>
    <row r="197" spans="1:1" x14ac:dyDescent="0.3">
      <c r="A197" s="15">
        <v>14</v>
      </c>
    </row>
    <row r="198" spans="1:1" x14ac:dyDescent="0.3">
      <c r="A198" s="15">
        <v>3</v>
      </c>
    </row>
    <row r="199" spans="1:1" x14ac:dyDescent="0.3">
      <c r="A199" s="15">
        <v>3</v>
      </c>
    </row>
    <row r="200" spans="1:1" x14ac:dyDescent="0.3">
      <c r="A200" s="15">
        <v>3</v>
      </c>
    </row>
    <row r="201" spans="1:1" x14ac:dyDescent="0.3">
      <c r="A201" s="15">
        <v>64.5</v>
      </c>
    </row>
    <row r="202" spans="1:1" x14ac:dyDescent="0.3">
      <c r="A202" s="15">
        <v>64.5</v>
      </c>
    </row>
    <row r="203" spans="1:1" x14ac:dyDescent="0.3">
      <c r="A203" s="15">
        <v>64.5</v>
      </c>
    </row>
    <row r="204" spans="1:1" x14ac:dyDescent="0.3">
      <c r="A204" s="15">
        <v>16</v>
      </c>
    </row>
    <row r="205" spans="1:1" x14ac:dyDescent="0.3">
      <c r="A205" s="15">
        <v>16</v>
      </c>
    </row>
    <row r="206" spans="1:1" x14ac:dyDescent="0.3">
      <c r="A206" s="15">
        <v>16</v>
      </c>
    </row>
    <row r="207" spans="1:1" x14ac:dyDescent="0.3">
      <c r="A207" s="15">
        <v>16</v>
      </c>
    </row>
    <row r="208" spans="1:1" x14ac:dyDescent="0.3">
      <c r="A208" s="15">
        <v>32.5</v>
      </c>
    </row>
    <row r="209" spans="1:1" x14ac:dyDescent="0.3">
      <c r="A209" s="15">
        <v>32.5</v>
      </c>
    </row>
    <row r="210" spans="1:1" x14ac:dyDescent="0.3">
      <c r="A210" s="15">
        <v>32.5</v>
      </c>
    </row>
    <row r="211" spans="1:1" x14ac:dyDescent="0.3">
      <c r="A211" s="15">
        <v>12</v>
      </c>
    </row>
    <row r="212" spans="1:1" x14ac:dyDescent="0.3">
      <c r="A212" s="15">
        <v>12</v>
      </c>
    </row>
    <row r="213" spans="1:1" x14ac:dyDescent="0.3">
      <c r="A213" s="15">
        <v>12</v>
      </c>
    </row>
    <row r="214" spans="1:1" x14ac:dyDescent="0.3">
      <c r="A214" s="15">
        <v>12</v>
      </c>
    </row>
    <row r="215" spans="1:1" x14ac:dyDescent="0.3">
      <c r="A215" s="15">
        <v>12</v>
      </c>
    </row>
    <row r="216" spans="1:1" x14ac:dyDescent="0.3">
      <c r="A216" s="15">
        <v>4.5</v>
      </c>
    </row>
    <row r="217" spans="1:1" x14ac:dyDescent="0.3">
      <c r="A217" s="15">
        <v>4.5</v>
      </c>
    </row>
    <row r="218" spans="1:1" x14ac:dyDescent="0.3">
      <c r="A218" s="15">
        <v>4.5</v>
      </c>
    </row>
    <row r="219" spans="1:1" x14ac:dyDescent="0.3">
      <c r="A219" s="15">
        <v>4.5</v>
      </c>
    </row>
    <row r="220" spans="1:1" x14ac:dyDescent="0.3">
      <c r="A220" s="15">
        <v>7.5</v>
      </c>
    </row>
    <row r="221" spans="1:1" x14ac:dyDescent="0.3">
      <c r="A221" s="15">
        <v>7.5</v>
      </c>
    </row>
    <row r="222" spans="1:1" x14ac:dyDescent="0.3">
      <c r="A222" s="15">
        <v>33.5</v>
      </c>
    </row>
    <row r="223" spans="1:1" x14ac:dyDescent="0.3">
      <c r="A223" s="15">
        <v>33.5</v>
      </c>
    </row>
    <row r="224" spans="1:1" x14ac:dyDescent="0.3">
      <c r="A224" s="15">
        <v>99</v>
      </c>
    </row>
    <row r="225" spans="1:1" x14ac:dyDescent="0.3">
      <c r="A225" s="15">
        <v>99</v>
      </c>
    </row>
    <row r="226" spans="1:1" x14ac:dyDescent="0.3">
      <c r="A226" s="15">
        <v>10</v>
      </c>
    </row>
    <row r="227" spans="1:1" x14ac:dyDescent="0.3">
      <c r="A227" s="15">
        <v>10</v>
      </c>
    </row>
    <row r="228" spans="1:1" x14ac:dyDescent="0.3">
      <c r="A228" s="15">
        <v>10</v>
      </c>
    </row>
    <row r="229" spans="1:1" x14ac:dyDescent="0.3">
      <c r="A229" s="15">
        <v>8</v>
      </c>
    </row>
    <row r="230" spans="1:1" x14ac:dyDescent="0.3">
      <c r="A230" s="15">
        <v>8</v>
      </c>
    </row>
    <row r="231" spans="1:1" x14ac:dyDescent="0.3">
      <c r="A231" s="15">
        <v>8</v>
      </c>
    </row>
    <row r="232" spans="1:1" x14ac:dyDescent="0.3">
      <c r="A232" s="15">
        <v>8</v>
      </c>
    </row>
    <row r="233" spans="1:1" x14ac:dyDescent="0.3">
      <c r="A233" s="15">
        <v>22</v>
      </c>
    </row>
    <row r="234" spans="1:1" x14ac:dyDescent="0.3">
      <c r="A234" s="15">
        <v>22</v>
      </c>
    </row>
    <row r="235" spans="1:1" x14ac:dyDescent="0.3">
      <c r="A235" s="15">
        <v>22</v>
      </c>
    </row>
    <row r="236" spans="1:1" x14ac:dyDescent="0.3">
      <c r="A236" s="15">
        <v>40</v>
      </c>
    </row>
    <row r="237" spans="1:1" x14ac:dyDescent="0.3">
      <c r="A237" s="15">
        <v>40</v>
      </c>
    </row>
    <row r="238" spans="1:1" x14ac:dyDescent="0.3">
      <c r="A238" s="15">
        <v>8</v>
      </c>
    </row>
    <row r="239" spans="1:1" x14ac:dyDescent="0.3">
      <c r="A239" s="15">
        <v>8</v>
      </c>
    </row>
    <row r="240" spans="1:1" x14ac:dyDescent="0.3">
      <c r="A240" s="15">
        <v>8</v>
      </c>
    </row>
    <row r="241" spans="1:1" x14ac:dyDescent="0.3">
      <c r="A241" s="15">
        <v>10.5</v>
      </c>
    </row>
    <row r="242" spans="1:1" x14ac:dyDescent="0.3">
      <c r="A242" s="15">
        <v>10.5</v>
      </c>
    </row>
    <row r="243" spans="1:1" x14ac:dyDescent="0.3">
      <c r="A243" s="15">
        <v>10.5</v>
      </c>
    </row>
    <row r="244" spans="1:1" x14ac:dyDescent="0.3">
      <c r="A244" s="15">
        <v>10.5</v>
      </c>
    </row>
    <row r="245" spans="1:1" x14ac:dyDescent="0.3">
      <c r="A245" s="15">
        <v>68</v>
      </c>
    </row>
    <row r="246" spans="1:1" x14ac:dyDescent="0.3">
      <c r="A246" s="15">
        <v>68</v>
      </c>
    </row>
  </sheetData>
  <mergeCells count="1">
    <mergeCell ref="K44:L44"/>
  </mergeCells>
  <phoneticPr fontId="3" type="noConversion"/>
  <pageMargins left="0.7" right="0.7" top="0.75" bottom="0.75" header="0.3" footer="0.3"/>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46"/>
  <dimension ref="A2:DS246"/>
  <sheetViews>
    <sheetView topLeftCell="A34" zoomScale="65" zoomScaleNormal="65" workbookViewId="0">
      <selection activeCell="A53" sqref="A53"/>
    </sheetView>
  </sheetViews>
  <sheetFormatPr defaultColWidth="9.109375" defaultRowHeight="14.4" x14ac:dyDescent="0.3"/>
  <cols>
    <col min="1" max="1" width="11" style="1" customWidth="1"/>
    <col min="2" max="2" width="15.88671875" style="1" customWidth="1"/>
    <col min="3" max="3" width="11.5546875" style="1" customWidth="1"/>
    <col min="4" max="4" width="15" style="1" customWidth="1"/>
    <col min="5" max="5" width="11.109375" style="1" customWidth="1"/>
    <col min="6" max="6" width="11.88671875" style="1" customWidth="1"/>
    <col min="7" max="8" width="17.33203125" style="1" customWidth="1"/>
    <col min="9" max="9" width="18.6640625" style="1" bestFit="1" customWidth="1"/>
    <col min="10" max="10" width="24.33203125" style="1" bestFit="1" customWidth="1"/>
    <col min="11" max="11" width="19.33203125" style="1" bestFit="1" customWidth="1"/>
    <col min="12" max="13" width="13.44140625" style="1" customWidth="1"/>
    <col min="14" max="14" width="19.88671875" style="1" customWidth="1"/>
    <col min="15" max="15" width="13.6640625" style="1" customWidth="1"/>
    <col min="16" max="33" width="9.109375" style="1"/>
    <col min="34" max="34" width="10.44140625" style="1" customWidth="1"/>
    <col min="35" max="35" width="9.109375" style="1"/>
    <col min="36" max="36" width="10.5546875" style="1" customWidth="1"/>
    <col min="37" max="37" width="9.109375" style="1"/>
    <col min="38" max="38" width="10.88671875" style="1" customWidth="1"/>
    <col min="39" max="39" width="9.109375" style="1"/>
    <col min="40" max="40" width="10.33203125" style="1" customWidth="1"/>
    <col min="41" max="41" width="9.109375" style="1"/>
    <col min="42" max="42" width="11.44140625" style="1" customWidth="1"/>
    <col min="43" max="43" width="9.109375" style="1"/>
    <col min="44" max="44" width="10.6640625" style="1" customWidth="1"/>
    <col min="45" max="45" width="9.109375" style="1"/>
    <col min="46" max="46" width="10.44140625" style="1" customWidth="1"/>
    <col min="47" max="47" width="9.109375" style="1"/>
    <col min="48" max="48" width="10.88671875" style="1" customWidth="1"/>
    <col min="49" max="49" width="9.109375" style="1"/>
    <col min="50" max="50" width="10.44140625" style="1" customWidth="1"/>
    <col min="51" max="51" width="9.109375" style="1"/>
    <col min="52" max="52" width="10.33203125" style="1" customWidth="1"/>
    <col min="53" max="53" width="9.109375" style="1"/>
    <col min="54" max="54" width="10.33203125" style="1" customWidth="1"/>
    <col min="55" max="55" width="9.109375" style="1"/>
    <col min="56" max="56" width="10" style="1" customWidth="1"/>
    <col min="57" max="57" width="9.109375" style="1"/>
    <col min="58" max="58" width="10.109375" style="1" customWidth="1"/>
    <col min="59" max="59" width="9.109375" style="1"/>
    <col min="60" max="60" width="10.33203125" style="1" customWidth="1"/>
    <col min="61" max="61" width="9.109375" style="1"/>
    <col min="62" max="62" width="10.109375" style="1" customWidth="1"/>
    <col min="63" max="63" width="9.109375" style="1"/>
    <col min="64" max="64" width="10.44140625" style="1" customWidth="1"/>
    <col min="65" max="65" width="9.109375" style="1"/>
    <col min="66" max="66" width="10.5546875" style="1" customWidth="1"/>
    <col min="67" max="67" width="9.109375" style="1"/>
    <col min="68" max="68" width="11.33203125" style="1" customWidth="1"/>
    <col min="69" max="69" width="9.109375" style="1"/>
    <col min="70" max="70" width="10.5546875" style="1" customWidth="1"/>
    <col min="71" max="71" width="9.109375" style="1"/>
    <col min="72" max="72" width="10.109375" style="1" customWidth="1"/>
    <col min="73" max="73" width="9.109375" style="1"/>
    <col min="74" max="74" width="10.109375" style="1" customWidth="1"/>
    <col min="75" max="75" width="9.109375" style="1"/>
    <col min="76" max="76" width="10.5546875" style="1" customWidth="1"/>
    <col min="77" max="77" width="9.109375" style="1"/>
    <col min="78" max="78" width="10.44140625" style="1" customWidth="1"/>
    <col min="79" max="79" width="9.109375" style="1"/>
    <col min="80" max="80" width="10.44140625" style="1" customWidth="1"/>
    <col min="81" max="81" width="9.109375" style="1"/>
    <col min="82" max="82" width="10.44140625" style="1" customWidth="1"/>
    <col min="83" max="83" width="9.109375" style="1"/>
    <col min="84" max="84" width="10.33203125" style="1" customWidth="1"/>
    <col min="85" max="85" width="9.109375" style="1"/>
    <col min="86" max="86" width="10.109375" style="1" customWidth="1"/>
    <col min="87" max="87" width="9.109375" style="1"/>
    <col min="88" max="88" width="10.44140625" style="1" customWidth="1"/>
    <col min="89" max="89" width="9.109375" style="1"/>
    <col min="90" max="90" width="10.109375" style="1" customWidth="1"/>
    <col min="91" max="91" width="9.109375" style="1"/>
    <col min="92" max="92" width="10.44140625" style="1" customWidth="1"/>
    <col min="93" max="93" width="9.109375" style="1"/>
    <col min="94" max="94" width="10.5546875" style="1" customWidth="1"/>
    <col min="95" max="95" width="9.109375" style="1"/>
    <col min="96" max="96" width="10.109375" style="1" customWidth="1"/>
    <col min="97" max="97" width="9.109375" style="1"/>
    <col min="98" max="98" width="10" style="1" customWidth="1"/>
    <col min="99" max="99" width="9.109375" style="1"/>
    <col min="100" max="100" width="10.44140625" style="1" customWidth="1"/>
    <col min="101" max="101" width="9.109375" style="1"/>
    <col min="102" max="102" width="10.109375" style="1" customWidth="1"/>
    <col min="103" max="103" width="9.109375" style="1"/>
    <col min="104" max="104" width="10.109375" style="1" customWidth="1"/>
    <col min="105" max="105" width="9.109375" style="1"/>
    <col min="106" max="106" width="10.109375" style="1" customWidth="1"/>
    <col min="107" max="107" width="9.109375" style="1"/>
    <col min="108" max="108" width="10.109375" style="1" customWidth="1"/>
    <col min="109" max="109" width="9.109375" style="1"/>
    <col min="110" max="110" width="10.33203125" style="1" customWidth="1"/>
    <col min="111" max="111" width="9.109375" style="1"/>
    <col min="112" max="112" width="10.44140625" style="1" customWidth="1"/>
    <col min="113" max="113" width="9.109375" style="1"/>
    <col min="114" max="114" width="11.109375" style="1" customWidth="1"/>
    <col min="115" max="115" width="9.109375" style="1"/>
    <col min="116" max="116" width="11" style="1" customWidth="1"/>
    <col min="117" max="117" width="9.109375" style="1"/>
    <col min="118" max="118" width="10.88671875" style="1" customWidth="1"/>
    <col min="119" max="119" width="9.109375" style="1"/>
    <col min="120" max="120" width="10.33203125" style="1" customWidth="1"/>
    <col min="121" max="121" width="9.109375" style="1"/>
    <col min="122" max="122" width="10.88671875" style="1" customWidth="1"/>
    <col min="123" max="16384" width="9.109375" style="1"/>
  </cols>
  <sheetData>
    <row r="2" spans="2:123" x14ac:dyDescent="0.3">
      <c r="B2" s="2"/>
      <c r="C2" s="2"/>
      <c r="D2" s="2"/>
      <c r="E2" s="2"/>
      <c r="F2" s="2"/>
      <c r="G2" s="2"/>
      <c r="H2" s="2"/>
      <c r="I2" s="2"/>
      <c r="J2" s="2"/>
      <c r="K2" s="2"/>
      <c r="L2" s="2"/>
      <c r="M2" s="2"/>
      <c r="N2" s="2"/>
      <c r="P2" s="16"/>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8"/>
      <c r="AV2" s="16"/>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8"/>
      <c r="CB2" s="17"/>
      <c r="CC2" s="18"/>
      <c r="CD2" s="16"/>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8"/>
      <c r="DJ2" s="17"/>
      <c r="DK2" s="17"/>
      <c r="DL2" s="17"/>
      <c r="DM2" s="17"/>
      <c r="DN2" s="17"/>
      <c r="DO2" s="17"/>
      <c r="DP2" s="17"/>
      <c r="DQ2" s="18"/>
      <c r="DR2" s="17"/>
      <c r="DS2" s="18"/>
    </row>
    <row r="3" spans="2:123" x14ac:dyDescent="0.3">
      <c r="P3" s="3"/>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5"/>
    </row>
    <row r="4" spans="2:123" x14ac:dyDescent="0.3">
      <c r="P4" s="3"/>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5"/>
    </row>
    <row r="5" spans="2:123" x14ac:dyDescent="0.3">
      <c r="P5" s="3"/>
      <c r="Q5" s="4"/>
      <c r="R5" s="4"/>
      <c r="S5" s="4"/>
      <c r="T5" s="4"/>
      <c r="U5" s="4"/>
      <c r="V5" s="4"/>
      <c r="W5" s="4"/>
      <c r="X5" s="4"/>
      <c r="Y5" s="4"/>
      <c r="Z5" s="4"/>
      <c r="AA5" s="4"/>
      <c r="AB5" s="4"/>
      <c r="AC5" s="4"/>
      <c r="AD5" s="4"/>
      <c r="AE5" s="4"/>
      <c r="AF5" s="4"/>
      <c r="AG5" s="4"/>
      <c r="AH5" s="4"/>
      <c r="AI5" s="4"/>
      <c r="AJ5" s="4"/>
      <c r="AK5" s="4"/>
      <c r="AL5" s="4"/>
      <c r="AN5" s="4"/>
      <c r="AO5" s="4"/>
      <c r="AP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5"/>
    </row>
    <row r="6" spans="2:123" x14ac:dyDescent="0.3">
      <c r="P6" s="3"/>
      <c r="Q6" s="4"/>
      <c r="R6" s="4"/>
      <c r="S6" s="4"/>
      <c r="T6" s="4"/>
      <c r="U6" s="4"/>
      <c r="V6" s="4"/>
      <c r="Y6" s="4"/>
      <c r="Z6" s="4"/>
      <c r="AB6" s="4"/>
      <c r="AD6" s="4"/>
      <c r="AF6" s="4"/>
      <c r="AH6" s="4"/>
      <c r="AJ6" s="4"/>
      <c r="AK6" s="4"/>
      <c r="AL6" s="4"/>
      <c r="AM6" s="4"/>
      <c r="AN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5"/>
    </row>
    <row r="7" spans="2:123" x14ac:dyDescent="0.3">
      <c r="P7" s="3"/>
      <c r="Q7" s="4"/>
      <c r="R7" s="4"/>
      <c r="S7" s="4"/>
      <c r="T7" s="4"/>
      <c r="U7" s="4"/>
      <c r="V7" s="4"/>
      <c r="W7" s="4"/>
      <c r="X7" s="4"/>
      <c r="Y7" s="4"/>
      <c r="Z7" s="4"/>
      <c r="AA7" s="4"/>
      <c r="AB7" s="4"/>
      <c r="AC7" s="4"/>
      <c r="AD7" s="4"/>
      <c r="AE7" s="4"/>
      <c r="AF7" s="4"/>
      <c r="AG7" s="4"/>
      <c r="AH7" s="4"/>
      <c r="AI7" s="4"/>
      <c r="AJ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5"/>
    </row>
    <row r="8" spans="2:123" x14ac:dyDescent="0.3">
      <c r="P8" s="3"/>
      <c r="Q8" s="4"/>
      <c r="R8" s="4"/>
      <c r="S8" s="4"/>
      <c r="T8" s="4"/>
      <c r="U8" s="4"/>
      <c r="V8" s="4"/>
      <c r="W8" s="4"/>
      <c r="X8" s="4"/>
      <c r="Y8" s="4"/>
      <c r="Z8" s="4"/>
      <c r="AA8" s="4"/>
      <c r="AB8" s="4"/>
      <c r="AC8" s="4"/>
      <c r="AD8" s="4"/>
      <c r="AE8" s="4"/>
      <c r="AF8" s="4"/>
      <c r="AG8" s="4"/>
      <c r="AH8" s="4"/>
      <c r="AI8" s="4"/>
      <c r="AJ8" s="4"/>
      <c r="AK8" s="4"/>
      <c r="AL8" s="4"/>
      <c r="AM8" s="4"/>
      <c r="AN8" s="4"/>
      <c r="AO8" s="4"/>
      <c r="AP8" s="4"/>
      <c r="AQ8" s="4"/>
      <c r="AR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5"/>
    </row>
    <row r="9" spans="2:123" x14ac:dyDescent="0.3">
      <c r="P9" s="3"/>
      <c r="Q9" s="4"/>
      <c r="R9" s="4"/>
      <c r="S9" s="4"/>
      <c r="T9" s="4"/>
      <c r="V9" s="4"/>
      <c r="W9" s="4"/>
      <c r="X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5"/>
    </row>
    <row r="10" spans="2:123" x14ac:dyDescent="0.3">
      <c r="P10" s="3"/>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5"/>
    </row>
    <row r="11" spans="2:123" x14ac:dyDescent="0.3">
      <c r="P11" s="3"/>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5"/>
    </row>
    <row r="12" spans="2:123" x14ac:dyDescent="0.3">
      <c r="P12" s="3"/>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5"/>
    </row>
    <row r="13" spans="2:123" x14ac:dyDescent="0.3">
      <c r="P13" s="3"/>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5"/>
    </row>
    <row r="14" spans="2:123" x14ac:dyDescent="0.3">
      <c r="P14" s="3"/>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8"/>
    </row>
    <row r="15" spans="2:123" x14ac:dyDescent="0.3">
      <c r="P15" s="6"/>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8"/>
    </row>
    <row r="21" spans="15:15" x14ac:dyDescent="0.3">
      <c r="O21" s="2"/>
    </row>
    <row r="38" spans="6:12" x14ac:dyDescent="0.3">
      <c r="F38" s="11" t="s">
        <v>19</v>
      </c>
      <c r="G38" s="11" t="s">
        <v>20</v>
      </c>
    </row>
    <row r="39" spans="6:12" x14ac:dyDescent="0.3">
      <c r="F39" s="1">
        <v>0.26500000000000001</v>
      </c>
      <c r="G39" s="12">
        <v>0.01</v>
      </c>
      <c r="H39" s="11" t="s">
        <v>8</v>
      </c>
    </row>
    <row r="40" spans="6:12" x14ac:dyDescent="0.3">
      <c r="F40" s="1">
        <v>0.33</v>
      </c>
      <c r="G40" s="1">
        <f t="shared" ref="G40:G48" si="0">(F40+F39)/2</f>
        <v>0.29749999999999999</v>
      </c>
      <c r="H40" s="11" t="s">
        <v>24</v>
      </c>
    </row>
    <row r="41" spans="6:12" x14ac:dyDescent="0.3">
      <c r="F41" s="1">
        <v>0.4</v>
      </c>
      <c r="G41" s="1">
        <f t="shared" si="0"/>
        <v>0.36499999999999999</v>
      </c>
      <c r="H41" s="22">
        <v>3.0000000000000001E-3</v>
      </c>
    </row>
    <row r="42" spans="6:12" x14ac:dyDescent="0.3">
      <c r="F42" s="1">
        <v>0.5</v>
      </c>
      <c r="G42" s="1">
        <f t="shared" si="0"/>
        <v>0.45</v>
      </c>
      <c r="H42" s="11" t="s">
        <v>23</v>
      </c>
    </row>
    <row r="43" spans="6:12" x14ac:dyDescent="0.3">
      <c r="F43" s="1">
        <v>0.62</v>
      </c>
      <c r="G43" s="1">
        <f t="shared" si="0"/>
        <v>0.56000000000000005</v>
      </c>
      <c r="H43" s="22">
        <v>0.47499999999999998</v>
      </c>
    </row>
    <row r="44" spans="6:12" x14ac:dyDescent="0.3">
      <c r="F44" s="1">
        <v>0.75</v>
      </c>
      <c r="G44" s="1">
        <f t="shared" si="0"/>
        <v>0.68500000000000005</v>
      </c>
      <c r="K44" s="27" t="s">
        <v>30</v>
      </c>
      <c r="L44" s="27"/>
    </row>
    <row r="45" spans="6:12" x14ac:dyDescent="0.3">
      <c r="F45" s="1">
        <v>0.95</v>
      </c>
      <c r="G45" s="1">
        <f t="shared" si="0"/>
        <v>0.85</v>
      </c>
      <c r="J45" s="11" t="s">
        <v>22</v>
      </c>
      <c r="K45" s="11" t="s">
        <v>1</v>
      </c>
      <c r="L45" s="11" t="s">
        <v>14</v>
      </c>
    </row>
    <row r="46" spans="6:12" x14ac:dyDescent="0.3">
      <c r="F46" s="1">
        <v>1.1000000000000001</v>
      </c>
      <c r="G46" s="1">
        <f t="shared" si="0"/>
        <v>1.0249999999999999</v>
      </c>
      <c r="I46" s="11" t="s">
        <v>38</v>
      </c>
      <c r="J46" s="25">
        <f>STDEV(J60:J94)</f>
        <v>0.22686579156304121</v>
      </c>
      <c r="K46" s="25">
        <f t="array" ref="K46:L46">LINEST(E60:E94,C60:C94,TRUE,FALSE)</f>
        <v>2.0608039441370224E-3</v>
      </c>
      <c r="L46" s="25">
        <v>0.54289363613069763</v>
      </c>
    </row>
    <row r="47" spans="6:12" x14ac:dyDescent="0.3">
      <c r="F47" s="1">
        <v>1.4</v>
      </c>
      <c r="G47" s="1">
        <f t="shared" si="0"/>
        <v>1.25</v>
      </c>
      <c r="I47" s="11" t="s">
        <v>39</v>
      </c>
      <c r="J47" s="11" t="s">
        <v>40</v>
      </c>
    </row>
    <row r="48" spans="6:12" x14ac:dyDescent="0.3">
      <c r="F48" s="1">
        <v>1.75</v>
      </c>
      <c r="G48" s="1">
        <f t="shared" si="0"/>
        <v>1.575</v>
      </c>
      <c r="I48" s="22">
        <v>0.2</v>
      </c>
      <c r="J48" s="10"/>
    </row>
    <row r="49" spans="1:24" x14ac:dyDescent="0.3">
      <c r="G49" s="12">
        <v>10</v>
      </c>
    </row>
    <row r="51" spans="1:24" x14ac:dyDescent="0.3">
      <c r="E51" s="11" t="s">
        <v>29</v>
      </c>
      <c r="F51" s="11" t="s">
        <v>26</v>
      </c>
      <c r="G51" s="11" t="s">
        <v>28</v>
      </c>
      <c r="I51" s="11" t="s">
        <v>3</v>
      </c>
    </row>
    <row r="52" spans="1:24" x14ac:dyDescent="0.3">
      <c r="E52" s="1">
        <v>0.90305840969085693</v>
      </c>
      <c r="F52" s="1">
        <f>LOGINV(E52,LN(H41*G52+H43),I$48)</f>
        <v>0.63150100306743029</v>
      </c>
      <c r="G52" s="1">
        <v>4</v>
      </c>
      <c r="I52" s="1">
        <v>9.9999997764825828E-5</v>
      </c>
    </row>
    <row r="53" spans="1:24" x14ac:dyDescent="0.3">
      <c r="E53" s="1" t="s">
        <v>0</v>
      </c>
      <c r="F53" s="1" t="s">
        <v>2</v>
      </c>
      <c r="G53" s="1" t="s">
        <v>6</v>
      </c>
    </row>
    <row r="54" spans="1:24" x14ac:dyDescent="0.3">
      <c r="E54" s="1">
        <v>5</v>
      </c>
      <c r="F54" s="1">
        <f>I55*E54+I57</f>
        <v>0.53707796335220337</v>
      </c>
      <c r="G54" s="1">
        <v>8.7789439806812447E-2</v>
      </c>
      <c r="I54" s="11" t="s">
        <v>41</v>
      </c>
      <c r="J54" s="11" t="s">
        <v>25</v>
      </c>
      <c r="L54" s="12"/>
      <c r="M54" s="12"/>
      <c r="N54" s="12"/>
    </row>
    <row r="55" spans="1:24" x14ac:dyDescent="0.3">
      <c r="E55" s="1">
        <v>120</v>
      </c>
      <c r="F55" s="1">
        <f>I55*E55+I57</f>
        <v>0.77591049671173096</v>
      </c>
      <c r="I55" s="9">
        <v>2.0768046379089355E-3</v>
      </c>
      <c r="J55" s="21">
        <f>SUM(K60:K94)</f>
        <v>1.749915638483488</v>
      </c>
      <c r="L55" s="12"/>
      <c r="M55" s="12"/>
      <c r="N55" s="12"/>
    </row>
    <row r="56" spans="1:24" x14ac:dyDescent="0.3">
      <c r="I56" s="11" t="s">
        <v>42</v>
      </c>
      <c r="L56" s="12"/>
      <c r="M56" s="12"/>
      <c r="N56" s="12"/>
    </row>
    <row r="57" spans="1:24" x14ac:dyDescent="0.3">
      <c r="I57" s="9">
        <v>0.52669394016265869</v>
      </c>
      <c r="L57" s="12"/>
      <c r="M57" s="12"/>
      <c r="N57" s="12"/>
    </row>
    <row r="58" spans="1:24" x14ac:dyDescent="0.3">
      <c r="A58" s="11" t="s">
        <v>31</v>
      </c>
      <c r="C58" s="11" t="s">
        <v>32</v>
      </c>
      <c r="L58" s="12"/>
      <c r="M58" s="12"/>
      <c r="N58" s="12"/>
      <c r="V58" s="11" t="s">
        <v>37</v>
      </c>
      <c r="W58" s="11" t="s">
        <v>14</v>
      </c>
      <c r="X58" s="11" t="s">
        <v>1</v>
      </c>
    </row>
    <row r="59" spans="1:24" ht="28.8" x14ac:dyDescent="0.3">
      <c r="A59" s="24" t="s">
        <v>44</v>
      </c>
      <c r="B59" s="12"/>
      <c r="C59" s="11" t="s">
        <v>46</v>
      </c>
      <c r="D59" s="19"/>
      <c r="E59" s="24" t="s">
        <v>45</v>
      </c>
      <c r="F59" s="11" t="s">
        <v>34</v>
      </c>
      <c r="G59" s="11" t="s">
        <v>33</v>
      </c>
      <c r="H59" s="12"/>
      <c r="I59" s="11" t="s">
        <v>9</v>
      </c>
      <c r="J59" s="11" t="s">
        <v>7</v>
      </c>
      <c r="K59" s="11" t="s">
        <v>21</v>
      </c>
      <c r="L59" s="12"/>
      <c r="M59" s="11" t="s">
        <v>4</v>
      </c>
      <c r="N59" s="11" t="s">
        <v>43</v>
      </c>
      <c r="O59" s="11" t="s">
        <v>35</v>
      </c>
      <c r="P59" s="11" t="s">
        <v>5</v>
      </c>
      <c r="Q59" s="11" t="s">
        <v>27</v>
      </c>
      <c r="S59" s="20" t="s">
        <v>37</v>
      </c>
      <c r="T59" s="20" t="s">
        <v>14</v>
      </c>
      <c r="U59" s="20" t="s">
        <v>1</v>
      </c>
      <c r="V59" s="11" t="s">
        <v>27</v>
      </c>
      <c r="W59" s="11" t="s">
        <v>27</v>
      </c>
      <c r="X59" s="11" t="s">
        <v>27</v>
      </c>
    </row>
    <row r="60" spans="1:24" x14ac:dyDescent="0.3">
      <c r="A60" s="13">
        <v>4.5</v>
      </c>
      <c r="C60" s="1">
        <v>5</v>
      </c>
      <c r="D60" s="12"/>
      <c r="E60" s="1">
        <v>0.75</v>
      </c>
      <c r="F60" s="1">
        <v>0.68500000000000005</v>
      </c>
      <c r="G60" s="1">
        <v>0.85</v>
      </c>
      <c r="I60" s="1">
        <f t="shared" ref="I60:I94" si="1">I$55*C60+I$57</f>
        <v>0.53707796335220337</v>
      </c>
      <c r="J60" s="1">
        <f>LN(E60)-LN(I60)+EXP(-10)</f>
        <v>0.33397533933809098</v>
      </c>
      <c r="K60" s="1">
        <f>J60^2</f>
        <v>0.11153952728599302</v>
      </c>
      <c r="L60" s="12"/>
      <c r="M60" s="1">
        <v>1</v>
      </c>
      <c r="N60" s="1">
        <v>-0.7616022097825369</v>
      </c>
      <c r="O60" s="1">
        <f>M60/36</f>
        <v>2.7777777777777776E-2</v>
      </c>
      <c r="P60" s="1">
        <f t="shared" ref="P60:P94" si="2">NORMSINV(O60)</f>
        <v>-1.9145058250555569</v>
      </c>
      <c r="Q60" s="1">
        <f>AVERAGE(N60:N95)</f>
        <v>-2.7212878039580647E-2</v>
      </c>
      <c r="S60" s="1">
        <v>0.20432136299954082</v>
      </c>
      <c r="T60" s="1">
        <v>0.45607513189315796</v>
      </c>
      <c r="U60" s="1">
        <v>3.261912614107132E-3</v>
      </c>
      <c r="V60" s="26">
        <f>AVERAGE(S60:S159)</f>
        <v>0.20242362551327711</v>
      </c>
      <c r="W60" s="26">
        <f>AVERAGE(T60:T159)</f>
        <v>0.47404539018869402</v>
      </c>
      <c r="X60" s="26">
        <f>AVERAGE(U60:U159)</f>
        <v>2.9419960803352295E-3</v>
      </c>
    </row>
    <row r="61" spans="1:24" x14ac:dyDescent="0.3">
      <c r="A61" s="13">
        <v>4.5</v>
      </c>
      <c r="C61" s="1">
        <v>4</v>
      </c>
      <c r="D61" s="12"/>
      <c r="E61" s="1">
        <v>0.5</v>
      </c>
      <c r="F61" s="1">
        <v>0.45</v>
      </c>
      <c r="G61" s="1">
        <v>0.56000000000000005</v>
      </c>
      <c r="I61" s="1">
        <f t="shared" si="1"/>
        <v>0.53500115871429443</v>
      </c>
      <c r="J61" s="1">
        <f t="shared" ref="J61:J94" si="3">LN(E61)-LN(I61)</f>
        <v>-6.7660814292580529E-2</v>
      </c>
      <c r="K61" s="1">
        <f t="shared" ref="K61:K94" si="4">J61^2</f>
        <v>4.57798579073507E-3</v>
      </c>
      <c r="M61" s="1">
        <v>2</v>
      </c>
      <c r="N61" s="1">
        <v>-0.70908262274640743</v>
      </c>
      <c r="O61" s="1">
        <f t="shared" ref="O61:O94" si="5">M61/36</f>
        <v>5.5555555555555552E-2</v>
      </c>
      <c r="P61" s="1">
        <f t="shared" si="2"/>
        <v>-1.5932188180230502</v>
      </c>
      <c r="Q61" s="1" t="s">
        <v>36</v>
      </c>
      <c r="S61" s="1">
        <v>0.21657957022919755</v>
      </c>
      <c r="T61" s="1">
        <v>0.4758019745349884</v>
      </c>
      <c r="U61" s="1">
        <v>3.1646359711885452E-3</v>
      </c>
      <c r="V61" s="11" t="s">
        <v>36</v>
      </c>
      <c r="W61" s="11" t="s">
        <v>36</v>
      </c>
      <c r="X61" s="11" t="s">
        <v>36</v>
      </c>
    </row>
    <row r="62" spans="1:24" x14ac:dyDescent="0.3">
      <c r="A62" s="13">
        <v>4.5</v>
      </c>
      <c r="C62" s="1">
        <v>106</v>
      </c>
      <c r="D62" s="12"/>
      <c r="E62" s="1">
        <v>0.75</v>
      </c>
      <c r="F62" s="1">
        <v>0.68500000000000005</v>
      </c>
      <c r="G62" s="1">
        <v>0.85</v>
      </c>
      <c r="I62" s="1">
        <f t="shared" si="1"/>
        <v>0.74683523178100586</v>
      </c>
      <c r="J62" s="1">
        <f t="shared" si="3"/>
        <v>4.2286189790617934E-3</v>
      </c>
      <c r="K62" s="1">
        <f t="shared" si="4"/>
        <v>1.7881218470081605E-5</v>
      </c>
      <c r="M62" s="1">
        <v>3</v>
      </c>
      <c r="N62" s="1">
        <v>-0.51671075493421936</v>
      </c>
      <c r="O62" s="1">
        <f t="shared" si="5"/>
        <v>8.3333333333333329E-2</v>
      </c>
      <c r="P62" s="1">
        <f t="shared" si="2"/>
        <v>-1.3829941271006392</v>
      </c>
      <c r="Q62" s="1">
        <f>STDEV(N60:N95)</f>
        <v>0.31209454766412592</v>
      </c>
      <c r="S62" s="1">
        <v>0.1971069022970377</v>
      </c>
      <c r="T62" s="1">
        <v>0.47153481841087341</v>
      </c>
      <c r="U62" s="1">
        <v>2.8001845348626375E-3</v>
      </c>
      <c r="V62" s="26">
        <f>STDEV(S60:S159)</f>
        <v>2.201603706112688E-2</v>
      </c>
      <c r="W62" s="26">
        <f>STDEV(T60:T159)</f>
        <v>2.7466587862380449E-2</v>
      </c>
      <c r="X62" s="26">
        <f>STDEV(U60:U159)</f>
        <v>7.9903590434080691E-4</v>
      </c>
    </row>
    <row r="63" spans="1:24" x14ac:dyDescent="0.3">
      <c r="A63" s="13">
        <v>4.5</v>
      </c>
      <c r="C63" s="1">
        <v>82</v>
      </c>
      <c r="D63" s="12"/>
      <c r="E63" s="1">
        <v>0.94999998807907104</v>
      </c>
      <c r="F63" s="1">
        <v>0.85</v>
      </c>
      <c r="G63" s="1">
        <v>1.0249999999999999</v>
      </c>
      <c r="I63" s="1">
        <f t="shared" si="1"/>
        <v>0.69699192047119141</v>
      </c>
      <c r="J63" s="1">
        <f t="shared" si="3"/>
        <v>0.30968815321632942</v>
      </c>
      <c r="K63" s="1">
        <f t="shared" si="4"/>
        <v>9.5906752242540722E-2</v>
      </c>
      <c r="M63" s="1">
        <v>4</v>
      </c>
      <c r="N63" s="1">
        <v>-0.4370309522919168</v>
      </c>
      <c r="O63" s="1">
        <f t="shared" si="5"/>
        <v>0.1111111111111111</v>
      </c>
      <c r="P63" s="1">
        <f t="shared" si="2"/>
        <v>-1.2206403488473501</v>
      </c>
      <c r="S63" s="1">
        <v>0.15252677531371461</v>
      </c>
      <c r="T63" s="1">
        <v>0.46525734663009644</v>
      </c>
      <c r="U63" s="1">
        <v>2.9964707791805267E-3</v>
      </c>
    </row>
    <row r="64" spans="1:24" x14ac:dyDescent="0.3">
      <c r="A64" s="13">
        <v>4.5</v>
      </c>
      <c r="C64" s="1">
        <v>106</v>
      </c>
      <c r="D64" s="12"/>
      <c r="E64" s="1">
        <v>0.62000000476837158</v>
      </c>
      <c r="F64" s="1">
        <v>0.56000000000000005</v>
      </c>
      <c r="G64" s="1">
        <v>0.68500000000000005</v>
      </c>
      <c r="I64" s="1">
        <f t="shared" si="1"/>
        <v>0.74683523178100586</v>
      </c>
      <c r="J64" s="1">
        <f t="shared" si="3"/>
        <v>-0.18612510182123526</v>
      </c>
      <c r="K64" s="1">
        <f t="shared" si="4"/>
        <v>3.4642553527965192E-2</v>
      </c>
      <c r="M64" s="1">
        <v>5</v>
      </c>
      <c r="N64" s="1">
        <v>-0.4370309522919168</v>
      </c>
      <c r="O64" s="1">
        <f t="shared" si="5"/>
        <v>0.1388888888888889</v>
      </c>
      <c r="P64" s="1">
        <f t="shared" si="2"/>
        <v>-1.0853249080767586</v>
      </c>
      <c r="S64" s="1">
        <v>0.20651920755017639</v>
      </c>
      <c r="T64" s="1">
        <v>0.47082334756851196</v>
      </c>
      <c r="U64" s="1">
        <v>2.7383682318031788E-3</v>
      </c>
    </row>
    <row r="65" spans="1:21" x14ac:dyDescent="0.3">
      <c r="A65" s="13">
        <v>4.5</v>
      </c>
      <c r="C65" s="1">
        <v>62</v>
      </c>
      <c r="D65" s="12"/>
      <c r="E65" s="1">
        <v>0.62000000476837158</v>
      </c>
      <c r="F65" s="1">
        <v>0.56000000000000005</v>
      </c>
      <c r="G65" s="1">
        <v>0.68500000000000005</v>
      </c>
      <c r="I65" s="1">
        <f t="shared" si="1"/>
        <v>0.6554558277130127</v>
      </c>
      <c r="J65" s="1">
        <f t="shared" si="3"/>
        <v>-5.5611428037575239E-2</v>
      </c>
      <c r="K65" s="1">
        <f t="shared" si="4"/>
        <v>3.0926309283784096E-3</v>
      </c>
      <c r="M65" s="1">
        <v>6</v>
      </c>
      <c r="N65" s="1">
        <v>-0.39252126539667731</v>
      </c>
      <c r="O65" s="1">
        <f t="shared" si="5"/>
        <v>0.16666666666666666</v>
      </c>
      <c r="P65" s="1">
        <f t="shared" si="2"/>
        <v>-0.96742156610170071</v>
      </c>
      <c r="S65" s="1">
        <v>0.23330383067256119</v>
      </c>
      <c r="T65" s="1">
        <v>0.46461650729179382</v>
      </c>
      <c r="U65" s="1">
        <v>3.3928414341062307E-3</v>
      </c>
    </row>
    <row r="66" spans="1:21" x14ac:dyDescent="0.3">
      <c r="A66" s="13">
        <v>4.5</v>
      </c>
      <c r="C66" s="1">
        <v>101</v>
      </c>
      <c r="D66" s="12"/>
      <c r="E66" s="1">
        <v>0.75</v>
      </c>
      <c r="F66" s="1">
        <v>0.68500000000000005</v>
      </c>
      <c r="G66" s="1">
        <v>0.85</v>
      </c>
      <c r="I66" s="1">
        <f t="shared" si="1"/>
        <v>0.73645120859146118</v>
      </c>
      <c r="J66" s="1">
        <f t="shared" si="3"/>
        <v>1.8230220491579907E-2</v>
      </c>
      <c r="K66" s="1">
        <f t="shared" si="4"/>
        <v>3.3234093917161996E-4</v>
      </c>
      <c r="M66" s="1">
        <v>7</v>
      </c>
      <c r="N66" s="1">
        <v>-0.29356721852117063</v>
      </c>
      <c r="O66" s="1">
        <f t="shared" si="5"/>
        <v>0.19444444444444445</v>
      </c>
      <c r="P66" s="1">
        <f t="shared" si="2"/>
        <v>-0.8616341201741734</v>
      </c>
      <c r="S66" s="1">
        <v>0.21735733997102796</v>
      </c>
      <c r="T66" s="1">
        <v>0.46859097480773926</v>
      </c>
      <c r="U66" s="1">
        <v>3.8843750953674316E-3</v>
      </c>
    </row>
    <row r="67" spans="1:21" x14ac:dyDescent="0.3">
      <c r="A67" s="13">
        <v>4.5</v>
      </c>
      <c r="C67" s="1">
        <v>23</v>
      </c>
      <c r="D67" s="12"/>
      <c r="E67" s="1">
        <v>0.5</v>
      </c>
      <c r="F67" s="1">
        <v>0.45</v>
      </c>
      <c r="G67" s="1">
        <v>0.56000000000000005</v>
      </c>
      <c r="I67" s="1">
        <f t="shared" si="1"/>
        <v>0.57446044683456421</v>
      </c>
      <c r="J67" s="1">
        <f t="shared" si="3"/>
        <v>-0.13882314851487609</v>
      </c>
      <c r="K67" s="1">
        <f t="shared" si="4"/>
        <v>1.9271866563583345E-2</v>
      </c>
      <c r="M67" s="1">
        <v>8</v>
      </c>
      <c r="N67" s="1">
        <v>-0.24465908447972873</v>
      </c>
      <c r="O67" s="1">
        <f t="shared" si="5"/>
        <v>0.22222222222222221</v>
      </c>
      <c r="P67" s="1">
        <f t="shared" si="2"/>
        <v>-0.76470967378638721</v>
      </c>
      <c r="S67" s="1">
        <v>0.19082741466618058</v>
      </c>
      <c r="T67" s="1">
        <v>0.48741063475608826</v>
      </c>
      <c r="U67" s="1">
        <v>3.5541430115699768E-3</v>
      </c>
    </row>
    <row r="68" spans="1:21" x14ac:dyDescent="0.3">
      <c r="A68" s="13">
        <v>82</v>
      </c>
      <c r="C68" s="1">
        <v>22</v>
      </c>
      <c r="D68" s="12"/>
      <c r="E68" s="1">
        <v>0.75</v>
      </c>
      <c r="F68" s="1">
        <v>0.68500000000000005</v>
      </c>
      <c r="G68" s="1">
        <v>0.85</v>
      </c>
      <c r="I68" s="1">
        <f t="shared" si="1"/>
        <v>0.57238364219665527</v>
      </c>
      <c r="J68" s="1">
        <f t="shared" si="3"/>
        <v>0.27026373683038452</v>
      </c>
      <c r="K68" s="1">
        <f t="shared" si="4"/>
        <v>7.3042487445523344E-2</v>
      </c>
      <c r="M68" s="1">
        <v>9</v>
      </c>
      <c r="N68" s="1">
        <v>-0.12672388336500084</v>
      </c>
      <c r="O68" s="1">
        <f t="shared" si="5"/>
        <v>0.25</v>
      </c>
      <c r="P68" s="1">
        <f t="shared" si="2"/>
        <v>-0.67448975019608193</v>
      </c>
      <c r="S68" s="1">
        <v>0.21282310550145966</v>
      </c>
      <c r="T68" s="1">
        <v>0.47374370694160461</v>
      </c>
      <c r="U68" s="1">
        <v>2.3158893454819918E-3</v>
      </c>
    </row>
    <row r="69" spans="1:21" x14ac:dyDescent="0.3">
      <c r="A69" s="13">
        <v>82</v>
      </c>
      <c r="C69" s="1">
        <v>12</v>
      </c>
      <c r="E69" s="1">
        <v>0.75</v>
      </c>
      <c r="F69" s="1">
        <v>0.68500000000000005</v>
      </c>
      <c r="G69" s="1">
        <v>0.85</v>
      </c>
      <c r="I69" s="1">
        <f t="shared" si="1"/>
        <v>0.55161559581756592</v>
      </c>
      <c r="J69" s="1">
        <f t="shared" si="3"/>
        <v>0.30722178722996629</v>
      </c>
      <c r="K69" s="1">
        <f t="shared" si="4"/>
        <v>9.4385226548774681E-2</v>
      </c>
      <c r="M69" s="1">
        <v>10</v>
      </c>
      <c r="N69" s="1">
        <v>-0.12308589107931756</v>
      </c>
      <c r="O69" s="1">
        <f t="shared" si="5"/>
        <v>0.27777777777777779</v>
      </c>
      <c r="P69" s="1">
        <f t="shared" si="2"/>
        <v>-0.58945579784977842</v>
      </c>
      <c r="S69" s="1">
        <v>0.21271601437788071</v>
      </c>
      <c r="T69" s="1">
        <v>0.39953523874282837</v>
      </c>
      <c r="U69" s="1">
        <v>3.9817756041884422E-3</v>
      </c>
    </row>
    <row r="70" spans="1:21" x14ac:dyDescent="0.3">
      <c r="A70" s="13">
        <v>82</v>
      </c>
      <c r="C70" s="1">
        <v>5</v>
      </c>
      <c r="E70" s="1">
        <v>0.5</v>
      </c>
      <c r="F70" s="1">
        <v>0.45</v>
      </c>
      <c r="G70" s="1">
        <v>0.56000000000000005</v>
      </c>
      <c r="I70" s="1">
        <f t="shared" si="1"/>
        <v>0.53707796335220337</v>
      </c>
      <c r="J70" s="1">
        <f t="shared" si="3"/>
        <v>-7.1535168699835894E-2</v>
      </c>
      <c r="K70" s="1">
        <f t="shared" si="4"/>
        <v>5.1172803609139811E-3</v>
      </c>
      <c r="M70" s="1">
        <v>11</v>
      </c>
      <c r="N70" s="1">
        <v>-0.11763195704799695</v>
      </c>
      <c r="O70" s="1">
        <f t="shared" si="5"/>
        <v>0.30555555555555558</v>
      </c>
      <c r="P70" s="1">
        <f t="shared" si="2"/>
        <v>-0.50848805910935657</v>
      </c>
      <c r="S70" s="1">
        <v>0.16487960028583795</v>
      </c>
      <c r="T70" s="1">
        <v>0.51353991031646729</v>
      </c>
      <c r="U70" s="1">
        <v>2.7325148694217205E-3</v>
      </c>
    </row>
    <row r="71" spans="1:21" x14ac:dyDescent="0.3">
      <c r="A71" s="13">
        <v>82</v>
      </c>
      <c r="C71" s="1">
        <v>19</v>
      </c>
      <c r="E71" s="1">
        <v>0.75</v>
      </c>
      <c r="F71" s="1">
        <v>0.68500000000000005</v>
      </c>
      <c r="G71" s="1">
        <v>0.85</v>
      </c>
      <c r="I71" s="1">
        <f t="shared" si="1"/>
        <v>0.56615322828292847</v>
      </c>
      <c r="J71" s="1">
        <f t="shared" si="3"/>
        <v>0.28120844361765485</v>
      </c>
      <c r="K71" s="1">
        <f t="shared" si="4"/>
        <v>7.907818876186376E-2</v>
      </c>
      <c r="M71" s="1">
        <v>12</v>
      </c>
      <c r="N71" s="1">
        <v>-8.2169312993556232E-2</v>
      </c>
      <c r="O71" s="1">
        <f t="shared" si="5"/>
        <v>0.33333333333333331</v>
      </c>
      <c r="P71" s="1">
        <f t="shared" si="2"/>
        <v>-0.43072729929545767</v>
      </c>
      <c r="S71" s="1">
        <v>0.22562682745269791</v>
      </c>
      <c r="T71" s="1">
        <v>0.52757006883621216</v>
      </c>
      <c r="U71" s="1">
        <v>2.8910990804433823E-3</v>
      </c>
    </row>
    <row r="72" spans="1:21" x14ac:dyDescent="0.3">
      <c r="A72" s="13">
        <v>82</v>
      </c>
      <c r="C72" s="1">
        <v>55</v>
      </c>
      <c r="E72" s="1">
        <v>0.5</v>
      </c>
      <c r="F72" s="1">
        <v>0.45</v>
      </c>
      <c r="G72" s="1">
        <v>0.56000000000000005</v>
      </c>
      <c r="I72" s="1">
        <f t="shared" si="1"/>
        <v>0.64091819524765015</v>
      </c>
      <c r="J72" s="1">
        <f t="shared" si="3"/>
        <v>-0.2482937298358005</v>
      </c>
      <c r="K72" s="1">
        <f t="shared" si="4"/>
        <v>6.1649776275773491E-2</v>
      </c>
      <c r="M72" s="1">
        <v>13</v>
      </c>
      <c r="N72" s="1">
        <v>-7.8455831213303295E-2</v>
      </c>
      <c r="O72" s="1">
        <f t="shared" si="5"/>
        <v>0.3611111111111111</v>
      </c>
      <c r="P72" s="1">
        <f t="shared" si="2"/>
        <v>-0.35549041783953095</v>
      </c>
      <c r="S72" s="1">
        <v>0.22534727963444892</v>
      </c>
      <c r="T72" s="1">
        <v>0.47008562088012695</v>
      </c>
      <c r="U72" s="1">
        <v>2.9809304978698492E-3</v>
      </c>
    </row>
    <row r="73" spans="1:21" x14ac:dyDescent="0.3">
      <c r="A73" s="13">
        <v>6</v>
      </c>
      <c r="C73" s="1">
        <v>5</v>
      </c>
      <c r="E73" s="1">
        <v>0.40000000596046448</v>
      </c>
      <c r="F73" s="1">
        <v>0.36499999999999999</v>
      </c>
      <c r="G73" s="1">
        <v>0.45</v>
      </c>
      <c r="I73" s="1">
        <f t="shared" si="1"/>
        <v>0.53707796335220337</v>
      </c>
      <c r="J73" s="1">
        <f t="shared" si="3"/>
        <v>-0.29467870511288463</v>
      </c>
      <c r="K73" s="1">
        <f t="shared" si="4"/>
        <v>8.6835539247006419E-2</v>
      </c>
      <c r="M73" s="1">
        <v>14</v>
      </c>
      <c r="N73" s="1">
        <v>-5.6707549297520421E-2</v>
      </c>
      <c r="O73" s="1">
        <f t="shared" si="5"/>
        <v>0.3888888888888889</v>
      </c>
      <c r="P73" s="1">
        <f t="shared" si="2"/>
        <v>-0.28221614706250814</v>
      </c>
      <c r="S73" s="1">
        <v>0.15968069720532932</v>
      </c>
      <c r="T73" s="1">
        <v>0.49648824334144592</v>
      </c>
      <c r="U73" s="1">
        <v>2.5569298304617405E-3</v>
      </c>
    </row>
    <row r="74" spans="1:21" x14ac:dyDescent="0.3">
      <c r="A74" s="13">
        <v>6</v>
      </c>
      <c r="C74" s="1">
        <v>99</v>
      </c>
      <c r="E74" s="1">
        <v>0.75</v>
      </c>
      <c r="F74" s="1">
        <v>0.68500000000000005</v>
      </c>
      <c r="G74" s="1">
        <v>0.85</v>
      </c>
      <c r="I74" s="1">
        <f t="shared" si="1"/>
        <v>0.73229759931564331</v>
      </c>
      <c r="J74" s="1">
        <f t="shared" si="3"/>
        <v>2.388621874858643E-2</v>
      </c>
      <c r="K74" s="1">
        <f t="shared" si="4"/>
        <v>5.7055144610532182E-4</v>
      </c>
      <c r="M74" s="1">
        <v>15</v>
      </c>
      <c r="N74" s="1">
        <v>-2.7548695686611557E-2</v>
      </c>
      <c r="O74" s="1">
        <f t="shared" si="5"/>
        <v>0.41666666666666669</v>
      </c>
      <c r="P74" s="1">
        <f t="shared" si="2"/>
        <v>-0.21042839424792467</v>
      </c>
      <c r="S74" s="1">
        <v>0.18149100669185539</v>
      </c>
      <c r="T74" s="1">
        <v>0.4880841076374054</v>
      </c>
      <c r="U74" s="1">
        <v>1.8170012626796961E-3</v>
      </c>
    </row>
    <row r="75" spans="1:21" x14ac:dyDescent="0.3">
      <c r="A75" s="13">
        <v>6</v>
      </c>
      <c r="C75" s="1">
        <v>5</v>
      </c>
      <c r="E75" s="1">
        <v>0.62000000476837158</v>
      </c>
      <c r="F75" s="1">
        <v>0.56000000000000005</v>
      </c>
      <c r="G75" s="1">
        <v>0.68500000000000005</v>
      </c>
      <c r="I75" s="1">
        <f t="shared" si="1"/>
        <v>0.53707796335220337</v>
      </c>
      <c r="J75" s="1">
        <f t="shared" si="3"/>
        <v>0.14357621860803144</v>
      </c>
      <c r="K75" s="1">
        <f t="shared" si="4"/>
        <v>2.0614130549781232E-2</v>
      </c>
      <c r="M75" s="1">
        <v>16</v>
      </c>
      <c r="N75" s="1">
        <v>-2.7548695686611557E-2</v>
      </c>
      <c r="O75" s="1">
        <f t="shared" si="5"/>
        <v>0.44444444444444442</v>
      </c>
      <c r="P75" s="1">
        <f t="shared" si="2"/>
        <v>-0.13971029888186212</v>
      </c>
      <c r="S75" s="1">
        <v>0.19569817231677031</v>
      </c>
      <c r="T75" s="1">
        <v>0.45798015594482422</v>
      </c>
      <c r="U75" s="1">
        <v>3.1296384986490011E-3</v>
      </c>
    </row>
    <row r="76" spans="1:21" x14ac:dyDescent="0.3">
      <c r="A76" s="13">
        <v>6</v>
      </c>
      <c r="C76" s="1">
        <v>82</v>
      </c>
      <c r="E76" s="1">
        <v>0.94999998807907104</v>
      </c>
      <c r="F76" s="1">
        <v>0.85</v>
      </c>
      <c r="G76" s="1">
        <v>1.0249999999999999</v>
      </c>
      <c r="I76" s="1">
        <f t="shared" si="1"/>
        <v>0.69699192047119141</v>
      </c>
      <c r="J76" s="1">
        <f t="shared" si="3"/>
        <v>0.30968815321632942</v>
      </c>
      <c r="K76" s="1">
        <f t="shared" si="4"/>
        <v>9.5906752242540722E-2</v>
      </c>
      <c r="M76" s="1">
        <v>17</v>
      </c>
      <c r="N76" s="1">
        <v>-2.7548695686611557E-2</v>
      </c>
      <c r="O76" s="1">
        <f t="shared" si="5"/>
        <v>0.47222222222222221</v>
      </c>
      <c r="P76" s="1">
        <f t="shared" si="2"/>
        <v>-6.9684920318455676E-2</v>
      </c>
      <c r="S76" s="1">
        <v>0.22227835479114053</v>
      </c>
      <c r="T76" s="1">
        <v>0.39817124605178833</v>
      </c>
      <c r="U76" s="1">
        <v>4.9695009365677834E-3</v>
      </c>
    </row>
    <row r="77" spans="1:21" x14ac:dyDescent="0.3">
      <c r="A77" s="13">
        <v>6</v>
      </c>
      <c r="C77" s="1">
        <v>82</v>
      </c>
      <c r="E77" s="1">
        <v>0.75</v>
      </c>
      <c r="F77" s="1">
        <v>0.68500000000000005</v>
      </c>
      <c r="G77" s="1">
        <v>0.85</v>
      </c>
      <c r="I77" s="1">
        <f t="shared" si="1"/>
        <v>0.69699192047119141</v>
      </c>
      <c r="J77" s="1">
        <f t="shared" si="3"/>
        <v>7.3299387700445418E-2</v>
      </c>
      <c r="K77" s="1">
        <f t="shared" si="4"/>
        <v>5.3728002372602094E-3</v>
      </c>
      <c r="M77" s="1">
        <v>18</v>
      </c>
      <c r="N77" s="1">
        <v>-2.151554806667999E-2</v>
      </c>
      <c r="O77" s="1">
        <f t="shared" si="5"/>
        <v>0.5</v>
      </c>
      <c r="P77" s="1">
        <f t="shared" si="2"/>
        <v>0</v>
      </c>
      <c r="S77" s="1">
        <v>0.23102386123949675</v>
      </c>
      <c r="T77" s="1">
        <v>0.48986691236495972</v>
      </c>
      <c r="U77" s="1">
        <v>3.462198656052351E-3</v>
      </c>
    </row>
    <row r="78" spans="1:21" x14ac:dyDescent="0.3">
      <c r="A78" s="13">
        <v>31</v>
      </c>
      <c r="C78" s="1">
        <v>95</v>
      </c>
      <c r="E78" s="1">
        <v>0.5</v>
      </c>
      <c r="F78" s="1">
        <v>0.45</v>
      </c>
      <c r="G78" s="1">
        <v>0.56000000000000005</v>
      </c>
      <c r="I78" s="1">
        <f t="shared" si="1"/>
        <v>0.72399038076400757</v>
      </c>
      <c r="J78" s="1">
        <f t="shared" si="3"/>
        <v>-0.37017000763770314</v>
      </c>
      <c r="K78" s="1">
        <f t="shared" si="4"/>
        <v>0.13702583455449721</v>
      </c>
      <c r="M78" s="1">
        <v>19</v>
      </c>
      <c r="N78" s="1">
        <v>-2.151554806667999E-2</v>
      </c>
      <c r="O78" s="1">
        <f t="shared" si="5"/>
        <v>0.52777777777777779</v>
      </c>
      <c r="P78" s="1">
        <f t="shared" si="2"/>
        <v>6.9684920318455676E-2</v>
      </c>
      <c r="S78" s="1">
        <v>0.1548156171575284</v>
      </c>
      <c r="T78" s="1">
        <v>0.44955673813819885</v>
      </c>
      <c r="U78" s="1">
        <v>2.8349196072667837E-3</v>
      </c>
    </row>
    <row r="79" spans="1:21" x14ac:dyDescent="0.3">
      <c r="A79" s="13">
        <v>31</v>
      </c>
      <c r="C79" s="1">
        <v>32</v>
      </c>
      <c r="E79" s="1">
        <v>0.5</v>
      </c>
      <c r="F79" s="1">
        <v>0.45</v>
      </c>
      <c r="G79" s="1">
        <v>0.56000000000000005</v>
      </c>
      <c r="I79" s="1">
        <f t="shared" si="1"/>
        <v>0.59315168857574463</v>
      </c>
      <c r="J79" s="1">
        <f t="shared" si="3"/>
        <v>-0.17084206647467204</v>
      </c>
      <c r="K79" s="1">
        <f t="shared" si="4"/>
        <v>2.9187011677336259E-2</v>
      </c>
      <c r="M79" s="1">
        <v>20</v>
      </c>
      <c r="N79" s="1">
        <v>-2.151554806667999E-2</v>
      </c>
      <c r="O79" s="1">
        <f t="shared" si="5"/>
        <v>0.55555555555555558</v>
      </c>
      <c r="P79" s="1">
        <f t="shared" si="2"/>
        <v>0.13971029888186212</v>
      </c>
      <c r="S79" s="1">
        <v>0.1927761761471348</v>
      </c>
      <c r="T79" s="1">
        <v>0.44891917705535889</v>
      </c>
      <c r="U79" s="1">
        <v>2.8498203027993441E-3</v>
      </c>
    </row>
    <row r="80" spans="1:21" x14ac:dyDescent="0.3">
      <c r="A80" s="13">
        <v>31</v>
      </c>
      <c r="C80" s="1">
        <v>75</v>
      </c>
      <c r="E80" s="1">
        <v>0.62000000476837158</v>
      </c>
      <c r="F80" s="1">
        <v>0.56000000000000005</v>
      </c>
      <c r="G80" s="1">
        <v>0.68500000000000005</v>
      </c>
      <c r="I80" s="1">
        <f t="shared" si="1"/>
        <v>0.68245428800582886</v>
      </c>
      <c r="J80" s="1">
        <f t="shared" si="3"/>
        <v>-9.5976061805140622E-2</v>
      </c>
      <c r="K80" s="1">
        <f t="shared" si="4"/>
        <v>9.2114044396241733E-3</v>
      </c>
      <c r="M80" s="1">
        <v>21</v>
      </c>
      <c r="N80" s="1">
        <v>7.2721763752300106E-2</v>
      </c>
      <c r="O80" s="1">
        <f t="shared" si="5"/>
        <v>0.58333333333333337</v>
      </c>
      <c r="P80" s="1">
        <f t="shared" si="2"/>
        <v>0.21042839424792484</v>
      </c>
      <c r="S80" s="1">
        <v>0.18753544787594284</v>
      </c>
      <c r="T80" s="1">
        <v>0.47557944059371948</v>
      </c>
      <c r="U80" s="1">
        <v>2.1097809076309204E-3</v>
      </c>
    </row>
    <row r="81" spans="1:21" x14ac:dyDescent="0.3">
      <c r="A81" s="13">
        <v>20</v>
      </c>
      <c r="C81" s="1">
        <v>56.5</v>
      </c>
      <c r="E81" s="1">
        <v>0.94999998807907104</v>
      </c>
      <c r="F81" s="1">
        <v>0.85</v>
      </c>
      <c r="G81" s="1">
        <v>1.0249999999999999</v>
      </c>
      <c r="I81" s="1">
        <f t="shared" si="1"/>
        <v>0.64403340220451355</v>
      </c>
      <c r="J81" s="1">
        <f t="shared" si="3"/>
        <v>0.38871138050972637</v>
      </c>
      <c r="K81" s="1">
        <f t="shared" si="4"/>
        <v>0.15109653733777728</v>
      </c>
      <c r="M81" s="1">
        <v>22</v>
      </c>
      <c r="N81" s="1">
        <v>9.2025496228549775E-2</v>
      </c>
      <c r="O81" s="1">
        <f t="shared" si="5"/>
        <v>0.61111111111111116</v>
      </c>
      <c r="P81" s="1">
        <f t="shared" si="2"/>
        <v>0.28221614706250825</v>
      </c>
      <c r="S81" s="1">
        <v>0.20616958582412612</v>
      </c>
      <c r="T81" s="1">
        <v>0.42975518107414246</v>
      </c>
      <c r="U81" s="1">
        <v>4.039151594042778E-3</v>
      </c>
    </row>
    <row r="82" spans="1:21" x14ac:dyDescent="0.3">
      <c r="A82" s="13">
        <v>20</v>
      </c>
      <c r="C82" s="1">
        <v>8</v>
      </c>
      <c r="E82" s="1">
        <v>0.62000000476837158</v>
      </c>
      <c r="F82" s="1">
        <v>0.56000000000000005</v>
      </c>
      <c r="G82" s="1">
        <v>0.68500000000000005</v>
      </c>
      <c r="I82" s="1">
        <f t="shared" si="1"/>
        <v>0.54330837726593018</v>
      </c>
      <c r="J82" s="1">
        <f t="shared" si="3"/>
        <v>0.13204241306463887</v>
      </c>
      <c r="K82" s="1">
        <f t="shared" si="4"/>
        <v>1.7435198847932716E-2</v>
      </c>
      <c r="M82" s="1">
        <v>23</v>
      </c>
      <c r="N82" s="1">
        <v>9.2025496228549775E-2</v>
      </c>
      <c r="O82" s="1">
        <f t="shared" si="5"/>
        <v>0.63888888888888884</v>
      </c>
      <c r="P82" s="1">
        <f t="shared" si="2"/>
        <v>0.35549041783953067</v>
      </c>
      <c r="S82" s="1">
        <v>0.1939166743208334</v>
      </c>
      <c r="T82" s="1">
        <v>0.50769740343093872</v>
      </c>
      <c r="U82" s="1">
        <v>2.5347832124680281E-3</v>
      </c>
    </row>
    <row r="83" spans="1:21" x14ac:dyDescent="0.3">
      <c r="A83" s="13">
        <v>20</v>
      </c>
      <c r="C83" s="1">
        <v>5</v>
      </c>
      <c r="E83" s="1">
        <v>0.40000000596046448</v>
      </c>
      <c r="F83" s="1">
        <v>0.36499999999999999</v>
      </c>
      <c r="G83" s="1">
        <v>0.45</v>
      </c>
      <c r="I83" s="1">
        <f t="shared" si="1"/>
        <v>0.53707796335220337</v>
      </c>
      <c r="J83" s="1">
        <f t="shared" si="3"/>
        <v>-0.29467870511288463</v>
      </c>
      <c r="K83" s="1">
        <f t="shared" si="4"/>
        <v>8.6835539247006419E-2</v>
      </c>
      <c r="M83" s="1">
        <v>24</v>
      </c>
      <c r="N83" s="1">
        <v>0.11189788958699376</v>
      </c>
      <c r="O83" s="1">
        <f t="shared" si="5"/>
        <v>0.66666666666666663</v>
      </c>
      <c r="P83" s="1">
        <f t="shared" si="2"/>
        <v>0.4307272992954575</v>
      </c>
      <c r="S83" s="1">
        <v>0.19478092123287818</v>
      </c>
      <c r="T83" s="1">
        <v>0.47354638576507568</v>
      </c>
      <c r="U83" s="1">
        <v>2.4004539009183645E-3</v>
      </c>
    </row>
    <row r="84" spans="1:21" x14ac:dyDescent="0.3">
      <c r="A84" s="13">
        <v>44</v>
      </c>
      <c r="C84" s="1">
        <v>55</v>
      </c>
      <c r="E84" s="1">
        <v>0.62000000476837158</v>
      </c>
      <c r="F84" s="1">
        <v>0.56000000000000005</v>
      </c>
      <c r="G84" s="1">
        <v>0.68500000000000005</v>
      </c>
      <c r="I84" s="1">
        <f t="shared" si="1"/>
        <v>0.64091819524765015</v>
      </c>
      <c r="J84" s="1">
        <f t="shared" si="3"/>
        <v>-3.3182342527933173E-2</v>
      </c>
      <c r="K84" s="1">
        <f t="shared" si="4"/>
        <v>1.1010678556410826E-3</v>
      </c>
      <c r="M84" s="1">
        <v>25</v>
      </c>
      <c r="N84" s="1">
        <v>0.1329420743143111</v>
      </c>
      <c r="O84" s="1">
        <f t="shared" si="5"/>
        <v>0.69444444444444442</v>
      </c>
      <c r="P84" s="1">
        <f t="shared" si="2"/>
        <v>0.50848805910935657</v>
      </c>
      <c r="S84" s="1">
        <v>0.17923978100424565</v>
      </c>
      <c r="T84" s="1">
        <v>0.49206522107124329</v>
      </c>
      <c r="U84" s="1">
        <v>2.7926000766456127E-3</v>
      </c>
    </row>
    <row r="85" spans="1:21" x14ac:dyDescent="0.3">
      <c r="A85" s="13">
        <v>44</v>
      </c>
      <c r="C85" s="1">
        <v>33.5</v>
      </c>
      <c r="E85" s="1">
        <v>0.75</v>
      </c>
      <c r="F85" s="1">
        <v>0.68500000000000005</v>
      </c>
      <c r="G85" s="1">
        <v>0.85</v>
      </c>
      <c r="I85" s="1">
        <f t="shared" si="1"/>
        <v>0.59626689553260803</v>
      </c>
      <c r="J85" s="1">
        <f t="shared" si="3"/>
        <v>0.22938482840623886</v>
      </c>
      <c r="K85" s="1">
        <f t="shared" si="4"/>
        <v>5.2617399502959648E-2</v>
      </c>
      <c r="M85" s="1">
        <v>26</v>
      </c>
      <c r="N85" s="1">
        <v>0.13364617150277663</v>
      </c>
      <c r="O85" s="1">
        <f t="shared" si="5"/>
        <v>0.72222222222222221</v>
      </c>
      <c r="P85" s="1">
        <f t="shared" si="2"/>
        <v>0.58945579784977842</v>
      </c>
      <c r="S85" s="1">
        <v>0.19503154174234366</v>
      </c>
      <c r="T85" s="1">
        <v>0.4417976438999176</v>
      </c>
      <c r="U85" s="1">
        <v>3.8885721005499363E-3</v>
      </c>
    </row>
    <row r="86" spans="1:21" x14ac:dyDescent="0.3">
      <c r="A86" s="13">
        <v>32</v>
      </c>
      <c r="C86" s="1">
        <v>101</v>
      </c>
      <c r="E86" s="1">
        <v>0.94999998807907104</v>
      </c>
      <c r="F86" s="1">
        <v>0.85</v>
      </c>
      <c r="G86" s="1">
        <v>1.0249999999999999</v>
      </c>
      <c r="I86" s="1">
        <f t="shared" si="1"/>
        <v>0.73645120859146118</v>
      </c>
      <c r="J86" s="1">
        <f t="shared" si="3"/>
        <v>0.25461898600746391</v>
      </c>
      <c r="K86" s="1">
        <f t="shared" si="4"/>
        <v>6.4830828035469107E-2</v>
      </c>
      <c r="M86" s="1">
        <v>27</v>
      </c>
      <c r="N86" s="1">
        <v>0.17533528216958583</v>
      </c>
      <c r="O86" s="1">
        <f t="shared" si="5"/>
        <v>0.75</v>
      </c>
      <c r="P86" s="1">
        <f t="shared" si="2"/>
        <v>0.67448975019608193</v>
      </c>
      <c r="S86" s="1">
        <v>0.15872459359745325</v>
      </c>
      <c r="T86" s="1">
        <v>0.45449772477149963</v>
      </c>
      <c r="U86" s="1">
        <v>3.665341529995203E-3</v>
      </c>
    </row>
    <row r="87" spans="1:21" x14ac:dyDescent="0.3">
      <c r="A87" s="13">
        <v>32</v>
      </c>
      <c r="C87" s="1">
        <v>6</v>
      </c>
      <c r="E87" s="1">
        <v>0.5</v>
      </c>
      <c r="F87" s="1">
        <v>0.45</v>
      </c>
      <c r="G87" s="1">
        <v>0.56000000000000005</v>
      </c>
      <c r="I87" s="1">
        <f t="shared" si="1"/>
        <v>0.5391547679901123</v>
      </c>
      <c r="J87" s="1">
        <f t="shared" si="3"/>
        <v>-7.5394570398478855E-2</v>
      </c>
      <c r="K87" s="1">
        <f t="shared" si="4"/>
        <v>5.6843412455711839E-3</v>
      </c>
      <c r="M87" s="1">
        <v>28</v>
      </c>
      <c r="N87" s="1">
        <v>0.18756269162125577</v>
      </c>
      <c r="O87" s="1">
        <f t="shared" si="5"/>
        <v>0.77777777777777779</v>
      </c>
      <c r="P87" s="1">
        <f t="shared" si="2"/>
        <v>0.76470967378638721</v>
      </c>
      <c r="S87" s="1">
        <v>0.23994560356704936</v>
      </c>
      <c r="T87" s="1">
        <v>0.45971900224685669</v>
      </c>
      <c r="U87" s="1">
        <v>2.2166427224874496E-3</v>
      </c>
    </row>
    <row r="88" spans="1:21" x14ac:dyDescent="0.3">
      <c r="A88" s="13">
        <v>75</v>
      </c>
      <c r="C88" s="1">
        <v>3</v>
      </c>
      <c r="E88" s="1">
        <v>0.5</v>
      </c>
      <c r="F88" s="1">
        <v>0.45</v>
      </c>
      <c r="G88" s="1">
        <v>0.56000000000000005</v>
      </c>
      <c r="I88" s="1">
        <f t="shared" si="1"/>
        <v>0.5329243540763855</v>
      </c>
      <c r="J88" s="1">
        <f t="shared" si="3"/>
        <v>-6.3771390861590671E-2</v>
      </c>
      <c r="K88" s="1">
        <f t="shared" si="4"/>
        <v>4.0667902924217698E-3</v>
      </c>
      <c r="M88" s="1">
        <v>29</v>
      </c>
      <c r="N88" s="1">
        <v>0.19359583924118734</v>
      </c>
      <c r="O88" s="1">
        <f t="shared" si="5"/>
        <v>0.80555555555555558</v>
      </c>
      <c r="P88" s="1">
        <f t="shared" si="2"/>
        <v>0.8616341201741734</v>
      </c>
      <c r="S88" s="1">
        <v>0.22636744225503072</v>
      </c>
      <c r="T88" s="1">
        <v>0.4740929901599884</v>
      </c>
      <c r="U88" s="1">
        <v>3.227446461096406E-3</v>
      </c>
    </row>
    <row r="89" spans="1:21" x14ac:dyDescent="0.3">
      <c r="A89" s="13">
        <v>75</v>
      </c>
      <c r="C89" s="1">
        <v>20</v>
      </c>
      <c r="E89" s="1">
        <v>0.40000000596046448</v>
      </c>
      <c r="F89" s="1">
        <v>0.36499999999999999</v>
      </c>
      <c r="G89" s="1">
        <v>0.45</v>
      </c>
      <c r="I89" s="1">
        <f t="shared" si="1"/>
        <v>0.5682300329208374</v>
      </c>
      <c r="J89" s="1">
        <f t="shared" si="3"/>
        <v>-0.35106176226337604</v>
      </c>
      <c r="K89" s="1">
        <f t="shared" si="4"/>
        <v>0.12324436092346716</v>
      </c>
      <c r="M89" s="1">
        <v>30</v>
      </c>
      <c r="N89" s="1">
        <v>0.19359583924118734</v>
      </c>
      <c r="O89" s="1">
        <f t="shared" si="5"/>
        <v>0.83333333333333337</v>
      </c>
      <c r="P89" s="1">
        <f t="shared" si="2"/>
        <v>0.96742156610170071</v>
      </c>
      <c r="S89" s="1">
        <v>0.23761910275575873</v>
      </c>
      <c r="T89" s="1">
        <v>0.47652256488800049</v>
      </c>
      <c r="U89" s="1">
        <v>2.7788146398961544E-3</v>
      </c>
    </row>
    <row r="90" spans="1:21" x14ac:dyDescent="0.3">
      <c r="A90" s="13">
        <v>62</v>
      </c>
      <c r="C90" s="1">
        <v>15</v>
      </c>
      <c r="E90" s="1">
        <v>0.40000000596046448</v>
      </c>
      <c r="F90" s="1">
        <v>0.36499999999999999</v>
      </c>
      <c r="G90" s="1">
        <v>0.45</v>
      </c>
      <c r="I90" s="1">
        <f t="shared" si="1"/>
        <v>0.55784600973129272</v>
      </c>
      <c r="J90" s="1">
        <f t="shared" si="3"/>
        <v>-0.33261839406244076</v>
      </c>
      <c r="K90" s="1">
        <f t="shared" si="4"/>
        <v>0.11063499606867712</v>
      </c>
      <c r="M90" s="1">
        <v>31</v>
      </c>
      <c r="N90" s="1">
        <v>0.23608737912453581</v>
      </c>
      <c r="O90" s="1">
        <f t="shared" si="5"/>
        <v>0.86111111111111116</v>
      </c>
      <c r="P90" s="1">
        <f t="shared" si="2"/>
        <v>1.0853249080767591</v>
      </c>
      <c r="S90" s="1">
        <v>0.21152561738245387</v>
      </c>
      <c r="T90" s="1">
        <v>0.49557241797447205</v>
      </c>
      <c r="U90" s="1">
        <v>2.2852432448416948E-3</v>
      </c>
    </row>
    <row r="91" spans="1:21" x14ac:dyDescent="0.3">
      <c r="A91" s="13">
        <v>62</v>
      </c>
      <c r="C91" s="1">
        <v>95</v>
      </c>
      <c r="E91" s="1">
        <v>0.5</v>
      </c>
      <c r="F91" s="1">
        <v>0.45</v>
      </c>
      <c r="G91" s="1">
        <v>0.56000000000000005</v>
      </c>
      <c r="I91" s="1">
        <f t="shared" si="1"/>
        <v>0.72399038076400757</v>
      </c>
      <c r="J91" s="1">
        <f t="shared" si="3"/>
        <v>-0.37017000763770314</v>
      </c>
      <c r="K91" s="1">
        <f t="shared" si="4"/>
        <v>0.13702583455449721</v>
      </c>
      <c r="M91" s="1">
        <v>32</v>
      </c>
      <c r="N91" s="1">
        <v>0.37791641242155283</v>
      </c>
      <c r="O91" s="1">
        <f t="shared" si="5"/>
        <v>0.88888888888888884</v>
      </c>
      <c r="P91" s="1">
        <f t="shared" si="2"/>
        <v>1.2206403488473503</v>
      </c>
      <c r="S91" s="1">
        <v>0.20179065855556735</v>
      </c>
      <c r="T91" s="1">
        <v>0.45324993133544922</v>
      </c>
      <c r="U91" s="1">
        <v>3.6192229017615318E-3</v>
      </c>
    </row>
    <row r="92" spans="1:21" x14ac:dyDescent="0.3">
      <c r="A92" s="13">
        <v>62</v>
      </c>
      <c r="C92" s="1">
        <v>4.5</v>
      </c>
      <c r="E92" s="1">
        <v>0.5</v>
      </c>
      <c r="F92" s="1">
        <v>0.45</v>
      </c>
      <c r="G92" s="1">
        <v>0.56000000000000005</v>
      </c>
      <c r="I92" s="1">
        <f t="shared" si="1"/>
        <v>0.5360395610332489</v>
      </c>
      <c r="J92" s="1">
        <f t="shared" si="3"/>
        <v>-6.9599867822793815E-2</v>
      </c>
      <c r="K92" s="1">
        <f t="shared" si="4"/>
        <v>4.8441416009503699E-3</v>
      </c>
      <c r="M92" s="1">
        <v>33</v>
      </c>
      <c r="N92" s="1">
        <v>0.45571403768282193</v>
      </c>
      <c r="O92" s="1">
        <f t="shared" si="5"/>
        <v>0.91666666666666663</v>
      </c>
      <c r="P92" s="1">
        <f t="shared" si="2"/>
        <v>1.3829941271006372</v>
      </c>
      <c r="S92" s="1">
        <v>0.25518801763414567</v>
      </c>
      <c r="T92" s="1">
        <v>0.47357448935508728</v>
      </c>
      <c r="U92" s="1">
        <v>2.829601289704442E-3</v>
      </c>
    </row>
    <row r="93" spans="1:21" x14ac:dyDescent="0.3">
      <c r="A93" s="13">
        <v>95</v>
      </c>
      <c r="C93" s="1">
        <v>14</v>
      </c>
      <c r="E93" s="1">
        <v>0.62000000476837158</v>
      </c>
      <c r="F93" s="1">
        <v>0.56000000000000005</v>
      </c>
      <c r="G93" s="1">
        <v>0.68500000000000005</v>
      </c>
      <c r="I93" s="1">
        <f t="shared" si="1"/>
        <v>0.55576920509338379</v>
      </c>
      <c r="J93" s="1">
        <f t="shared" si="3"/>
        <v>0.10936637640971986</v>
      </c>
      <c r="K93" s="1">
        <f t="shared" si="4"/>
        <v>1.1961004288992529E-2</v>
      </c>
      <c r="M93" s="1">
        <v>34</v>
      </c>
      <c r="N93" s="1">
        <v>0.55832755610010765</v>
      </c>
      <c r="O93" s="1">
        <f t="shared" si="5"/>
        <v>0.94444444444444442</v>
      </c>
      <c r="P93" s="1">
        <f t="shared" si="2"/>
        <v>1.59321881802305</v>
      </c>
      <c r="S93" s="1">
        <v>0.22357918244001898</v>
      </c>
      <c r="T93" s="1">
        <v>0.48355016112327576</v>
      </c>
      <c r="U93" s="1">
        <v>2.0935763604938984E-3</v>
      </c>
    </row>
    <row r="94" spans="1:21" x14ac:dyDescent="0.3">
      <c r="A94" s="13">
        <v>95</v>
      </c>
      <c r="C94" s="1">
        <v>15</v>
      </c>
      <c r="E94" s="1">
        <v>0.62000000476837158</v>
      </c>
      <c r="F94" s="1">
        <v>0.56000000000000005</v>
      </c>
      <c r="G94" s="1">
        <v>0.68500000000000005</v>
      </c>
      <c r="I94" s="1">
        <f t="shared" si="1"/>
        <v>0.55784600973129272</v>
      </c>
      <c r="J94" s="1">
        <f t="shared" si="3"/>
        <v>0.10563652965847531</v>
      </c>
      <c r="K94" s="1">
        <f t="shared" si="4"/>
        <v>1.1159076398285934E-2</v>
      </c>
      <c r="M94" s="1">
        <v>35</v>
      </c>
      <c r="N94" s="1">
        <v>0.55832755610010765</v>
      </c>
      <c r="O94" s="1">
        <f t="shared" si="5"/>
        <v>0.97222222222222221</v>
      </c>
      <c r="P94" s="1">
        <f t="shared" si="2"/>
        <v>1.9145058250555569</v>
      </c>
      <c r="S94" s="1">
        <v>0.21893240549338358</v>
      </c>
      <c r="T94" s="1">
        <v>0.45019382238388062</v>
      </c>
      <c r="U94" s="1">
        <v>2.8346518520265818E-3</v>
      </c>
    </row>
    <row r="95" spans="1:21" x14ac:dyDescent="0.3">
      <c r="A95" s="13">
        <v>95</v>
      </c>
      <c r="C95" s="1">
        <v>0</v>
      </c>
      <c r="E95" s="1">
        <v>0.75</v>
      </c>
      <c r="F95" s="1">
        <v>0.68500000000000005</v>
      </c>
      <c r="G95" s="1">
        <v>0.85</v>
      </c>
      <c r="S95" s="1">
        <v>0.1712743455224956</v>
      </c>
      <c r="T95" s="1">
        <v>0.47987467050552368</v>
      </c>
      <c r="U95" s="1">
        <v>3.2928765285760164E-3</v>
      </c>
    </row>
    <row r="96" spans="1:21" x14ac:dyDescent="0.3">
      <c r="A96" s="14">
        <v>4</v>
      </c>
      <c r="S96" s="1">
        <v>0.17880935590567637</v>
      </c>
      <c r="T96" s="1">
        <v>0.45866581797599792</v>
      </c>
      <c r="U96" s="1">
        <v>2.3621430154889822E-3</v>
      </c>
    </row>
    <row r="97" spans="1:21" x14ac:dyDescent="0.3">
      <c r="A97" s="14">
        <v>4</v>
      </c>
      <c r="S97" s="1">
        <v>0.16540160707915641</v>
      </c>
      <c r="T97" s="1">
        <v>0.53956669569015503</v>
      </c>
      <c r="U97" s="1">
        <v>1.4545299345627427E-3</v>
      </c>
    </row>
    <row r="98" spans="1:21" x14ac:dyDescent="0.3">
      <c r="A98" s="14">
        <v>5</v>
      </c>
      <c r="S98" s="1">
        <v>0.1677782298815316</v>
      </c>
      <c r="T98" s="1">
        <v>0.54213684797286987</v>
      </c>
      <c r="U98" s="1">
        <v>1.3812342658638954E-3</v>
      </c>
    </row>
    <row r="99" spans="1:21" x14ac:dyDescent="0.3">
      <c r="A99" s="14">
        <v>5</v>
      </c>
      <c r="S99" s="1">
        <v>0.2141390746623246</v>
      </c>
      <c r="T99" s="1">
        <v>0.48550832271575928</v>
      </c>
      <c r="U99" s="1">
        <v>3.1409168150275946E-3</v>
      </c>
    </row>
    <row r="100" spans="1:21" x14ac:dyDescent="0.3">
      <c r="A100" s="14">
        <v>5</v>
      </c>
      <c r="S100" s="1">
        <v>0.20329479215064303</v>
      </c>
      <c r="T100" s="1">
        <v>0.46517616510391235</v>
      </c>
      <c r="U100" s="1">
        <v>3.8870931603014469E-3</v>
      </c>
    </row>
    <row r="101" spans="1:21" x14ac:dyDescent="0.3">
      <c r="A101" s="14">
        <v>5</v>
      </c>
      <c r="S101" s="1">
        <v>0.18803486504648279</v>
      </c>
      <c r="T101" s="1">
        <v>0.4567795991897583</v>
      </c>
      <c r="U101" s="1">
        <v>2.6751465629786253E-3</v>
      </c>
    </row>
    <row r="102" spans="1:21" x14ac:dyDescent="0.3">
      <c r="A102" s="14">
        <v>5</v>
      </c>
      <c r="S102" s="1">
        <v>0.18249559482944297</v>
      </c>
      <c r="T102" s="1">
        <v>0.48844656348228455</v>
      </c>
      <c r="U102" s="1">
        <v>3.2797316089272499E-3</v>
      </c>
    </row>
    <row r="103" spans="1:21" x14ac:dyDescent="0.3">
      <c r="A103" s="14">
        <v>5</v>
      </c>
      <c r="S103" s="1">
        <v>0.262401563732306</v>
      </c>
      <c r="T103" s="1">
        <v>0.46036142110824585</v>
      </c>
      <c r="U103" s="1">
        <v>2.3026007693260908E-3</v>
      </c>
    </row>
    <row r="104" spans="1:21" x14ac:dyDescent="0.3">
      <c r="A104" s="14">
        <v>5</v>
      </c>
      <c r="S104" s="1">
        <v>0.23063450289493428</v>
      </c>
      <c r="T104" s="1">
        <v>0.46482676267623901</v>
      </c>
      <c r="U104" s="1">
        <v>3.2665070611983538E-3</v>
      </c>
    </row>
    <row r="105" spans="1:21" x14ac:dyDescent="0.3">
      <c r="A105" s="14">
        <v>5</v>
      </c>
      <c r="S105" s="1">
        <v>0.20214909519219998</v>
      </c>
      <c r="T105" s="1">
        <v>0.47080817818641663</v>
      </c>
      <c r="U105" s="1">
        <v>3.2406954560428858E-3</v>
      </c>
    </row>
    <row r="106" spans="1:21" x14ac:dyDescent="0.3">
      <c r="A106" s="14">
        <v>5</v>
      </c>
      <c r="S106" s="1">
        <v>0.22102521550558582</v>
      </c>
      <c r="T106" s="1">
        <v>0.48706492781639099</v>
      </c>
      <c r="U106" s="1">
        <v>2.5774263776838779E-3</v>
      </c>
    </row>
    <row r="107" spans="1:21" x14ac:dyDescent="0.3">
      <c r="A107" s="14">
        <v>5</v>
      </c>
      <c r="S107" s="1">
        <v>0.20335643070844434</v>
      </c>
      <c r="T107" s="1">
        <v>0.47596150636672974</v>
      </c>
      <c r="U107" s="1">
        <v>3.6392633337527514E-3</v>
      </c>
    </row>
    <row r="108" spans="1:21" x14ac:dyDescent="0.3">
      <c r="A108" s="14">
        <v>5</v>
      </c>
      <c r="S108" s="1">
        <v>0.18678020779430715</v>
      </c>
      <c r="T108" s="1">
        <v>0.4535754919052124</v>
      </c>
      <c r="U108" s="1">
        <v>4.3478300794959068E-3</v>
      </c>
    </row>
    <row r="109" spans="1:21" x14ac:dyDescent="0.3">
      <c r="A109" s="14">
        <v>5</v>
      </c>
      <c r="S109" s="1">
        <v>0.17876832361063838</v>
      </c>
      <c r="T109" s="1">
        <v>0.46366018056869507</v>
      </c>
      <c r="U109" s="1">
        <v>2.9423856176435947E-3</v>
      </c>
    </row>
    <row r="110" spans="1:21" x14ac:dyDescent="0.3">
      <c r="A110" s="14">
        <v>5</v>
      </c>
      <c r="S110" s="1">
        <v>0.21017625267611109</v>
      </c>
      <c r="T110" s="1">
        <v>0.52035057544708252</v>
      </c>
      <c r="U110" s="1">
        <v>1.3844982022419572E-3</v>
      </c>
    </row>
    <row r="111" spans="1:21" x14ac:dyDescent="0.3">
      <c r="A111" s="14">
        <v>6</v>
      </c>
      <c r="S111" s="1">
        <v>0.2458380579337277</v>
      </c>
      <c r="T111" s="1">
        <v>0.46954089403152466</v>
      </c>
      <c r="U111" s="1">
        <v>3.0637094751000404E-3</v>
      </c>
    </row>
    <row r="112" spans="1:21" x14ac:dyDescent="0.3">
      <c r="A112" s="14">
        <v>6</v>
      </c>
      <c r="S112" s="1">
        <v>0.20690655392921431</v>
      </c>
      <c r="T112" s="1">
        <v>0.47435584664344788</v>
      </c>
      <c r="U112" s="1">
        <v>2.2260122932493687E-3</v>
      </c>
    </row>
    <row r="113" spans="1:21" x14ac:dyDescent="0.3">
      <c r="A113" s="14">
        <v>6</v>
      </c>
      <c r="S113" s="1">
        <v>0.20898769239530882</v>
      </c>
      <c r="T113" s="1">
        <v>0.44720020890235901</v>
      </c>
      <c r="U113" s="1">
        <v>4.1150967590510845E-3</v>
      </c>
    </row>
    <row r="114" spans="1:21" x14ac:dyDescent="0.3">
      <c r="A114" s="14">
        <v>6</v>
      </c>
      <c r="S114" s="1">
        <v>0.1850221991904781</v>
      </c>
      <c r="T114" s="1">
        <v>0.49057865142822266</v>
      </c>
      <c r="U114" s="1">
        <v>1.9926945678889751E-3</v>
      </c>
    </row>
    <row r="115" spans="1:21" x14ac:dyDescent="0.3">
      <c r="A115" s="14">
        <v>6</v>
      </c>
      <c r="S115" s="1">
        <v>0.1615619207680527</v>
      </c>
      <c r="T115" s="1">
        <v>0.50040841102600098</v>
      </c>
      <c r="U115" s="1">
        <v>2.1046705078333616E-3</v>
      </c>
    </row>
    <row r="116" spans="1:21" x14ac:dyDescent="0.3">
      <c r="A116" s="14">
        <v>6</v>
      </c>
      <c r="S116" s="1">
        <v>0.19907540640781982</v>
      </c>
      <c r="T116" s="1">
        <v>0.45852255821228027</v>
      </c>
      <c r="U116" s="1">
        <v>3.1630606390535831E-3</v>
      </c>
    </row>
    <row r="117" spans="1:21" x14ac:dyDescent="0.3">
      <c r="A117" s="14">
        <v>6</v>
      </c>
      <c r="S117" s="1">
        <v>0.21106899801776785</v>
      </c>
      <c r="T117" s="1">
        <v>0.49736997485160828</v>
      </c>
      <c r="U117" s="1">
        <v>2.3187780752778053E-3</v>
      </c>
    </row>
    <row r="118" spans="1:21" x14ac:dyDescent="0.3">
      <c r="A118" s="14">
        <v>6</v>
      </c>
      <c r="S118" s="1">
        <v>0.17821334200794242</v>
      </c>
      <c r="T118" s="1">
        <v>0.52827185392379761</v>
      </c>
      <c r="U118" s="1">
        <v>1.0315598919987679E-3</v>
      </c>
    </row>
    <row r="119" spans="1:21" x14ac:dyDescent="0.3">
      <c r="A119" s="14">
        <v>6</v>
      </c>
      <c r="S119" s="1">
        <v>0.18394608256074674</v>
      </c>
      <c r="T119" s="1">
        <v>0.4917927086353302</v>
      </c>
      <c r="U119" s="1">
        <v>2.2812134120613337E-3</v>
      </c>
    </row>
    <row r="120" spans="1:21" x14ac:dyDescent="0.3">
      <c r="A120" s="14">
        <v>7.5</v>
      </c>
      <c r="S120" s="1">
        <v>0.18978301717990914</v>
      </c>
      <c r="T120" s="1">
        <v>0.47882956266403198</v>
      </c>
      <c r="U120" s="1">
        <v>3.7840665318071842E-3</v>
      </c>
    </row>
    <row r="121" spans="1:21" x14ac:dyDescent="0.3">
      <c r="A121" s="14">
        <v>7.5</v>
      </c>
      <c r="S121" s="1">
        <v>0.17881167385152075</v>
      </c>
      <c r="T121" s="1">
        <v>0.49214673042297363</v>
      </c>
      <c r="U121" s="1">
        <v>1.9142904784530401E-3</v>
      </c>
    </row>
    <row r="122" spans="1:21" x14ac:dyDescent="0.3">
      <c r="A122" s="14">
        <v>7.5</v>
      </c>
      <c r="S122" s="1">
        <v>0.19652389011839522</v>
      </c>
      <c r="T122" s="1">
        <v>0.49330201745033264</v>
      </c>
      <c r="U122" s="1">
        <v>2.6570709887892008E-3</v>
      </c>
    </row>
    <row r="123" spans="1:21" x14ac:dyDescent="0.3">
      <c r="A123" s="14">
        <v>7.5</v>
      </c>
      <c r="S123" s="1">
        <v>0.20631100841980901</v>
      </c>
      <c r="T123" s="1">
        <v>0.45192724466323853</v>
      </c>
      <c r="U123" s="1">
        <v>2.4132982362061739E-3</v>
      </c>
    </row>
    <row r="124" spans="1:21" x14ac:dyDescent="0.3">
      <c r="A124" s="14">
        <v>7.5</v>
      </c>
      <c r="S124" s="1">
        <v>0.20531759425711171</v>
      </c>
      <c r="T124" s="1">
        <v>0.46308320760726929</v>
      </c>
      <c r="U124" s="1">
        <v>3.6182189360260963E-3</v>
      </c>
    </row>
    <row r="125" spans="1:21" x14ac:dyDescent="0.3">
      <c r="A125" s="14">
        <v>11.5</v>
      </c>
      <c r="S125" s="1">
        <v>0.20312790776536729</v>
      </c>
      <c r="T125" s="1">
        <v>0.46003201603889465</v>
      </c>
      <c r="U125" s="1">
        <v>3.264088649302721E-3</v>
      </c>
    </row>
    <row r="126" spans="1:21" x14ac:dyDescent="0.3">
      <c r="A126" s="14">
        <v>11.5</v>
      </c>
      <c r="S126" s="1">
        <v>0.17812526341917137</v>
      </c>
      <c r="T126" s="1">
        <v>0.47091001272201538</v>
      </c>
      <c r="U126" s="1">
        <v>3.3638766035437584E-3</v>
      </c>
    </row>
    <row r="127" spans="1:21" x14ac:dyDescent="0.3">
      <c r="A127" s="14">
        <v>15</v>
      </c>
      <c r="S127" s="1">
        <v>0.20515840641120539</v>
      </c>
      <c r="T127" s="1">
        <v>0.44352111220359802</v>
      </c>
      <c r="U127" s="1">
        <v>4.3394356034696102E-3</v>
      </c>
    </row>
    <row r="128" spans="1:21" x14ac:dyDescent="0.3">
      <c r="A128" s="14">
        <v>15</v>
      </c>
      <c r="S128" s="1">
        <v>0.18470265959249577</v>
      </c>
      <c r="T128" s="1">
        <v>0.47960075736045837</v>
      </c>
      <c r="U128" s="1">
        <v>3.4303106367588043E-3</v>
      </c>
    </row>
    <row r="129" spans="1:21" x14ac:dyDescent="0.3">
      <c r="A129" s="14">
        <v>19</v>
      </c>
      <c r="S129" s="1">
        <v>0.18079794821180681</v>
      </c>
      <c r="T129" s="1">
        <v>0.52072536945343018</v>
      </c>
      <c r="U129" s="1">
        <v>2.9215568210929632E-3</v>
      </c>
    </row>
    <row r="130" spans="1:21" x14ac:dyDescent="0.3">
      <c r="A130" s="14">
        <v>19</v>
      </c>
      <c r="S130" s="1">
        <v>0.21501619781815451</v>
      </c>
      <c r="T130" s="1">
        <v>0.4465373158454895</v>
      </c>
      <c r="U130" s="1">
        <v>3.0892151407897472E-3</v>
      </c>
    </row>
    <row r="131" spans="1:21" x14ac:dyDescent="0.3">
      <c r="A131" s="14">
        <v>19</v>
      </c>
      <c r="S131" s="1">
        <v>0.19464607425968392</v>
      </c>
      <c r="T131" s="1">
        <v>0.47185799479484558</v>
      </c>
      <c r="U131" s="1">
        <v>3.1176197808235884E-3</v>
      </c>
    </row>
    <row r="132" spans="1:21" x14ac:dyDescent="0.3">
      <c r="A132" s="14">
        <v>21</v>
      </c>
      <c r="S132" s="1">
        <v>0.22136703520681322</v>
      </c>
      <c r="T132" s="1">
        <v>0.43281969428062439</v>
      </c>
      <c r="U132" s="1">
        <v>4.5189619995653629E-3</v>
      </c>
    </row>
    <row r="133" spans="1:21" x14ac:dyDescent="0.3">
      <c r="A133" s="14">
        <v>21</v>
      </c>
      <c r="S133" s="1">
        <v>0.21887621578060984</v>
      </c>
      <c r="T133" s="1">
        <v>0.49302101135253906</v>
      </c>
      <c r="U133" s="1">
        <v>2.5171372108161449E-3</v>
      </c>
    </row>
    <row r="134" spans="1:21" x14ac:dyDescent="0.3">
      <c r="A134" s="14">
        <v>21</v>
      </c>
      <c r="S134" s="1">
        <v>0.20532156048203221</v>
      </c>
      <c r="T134" s="1">
        <v>0.42693302035331726</v>
      </c>
      <c r="U134" s="1">
        <v>4.0000802837312222E-3</v>
      </c>
    </row>
    <row r="135" spans="1:21" x14ac:dyDescent="0.3">
      <c r="A135" s="14">
        <v>23</v>
      </c>
      <c r="S135" s="1">
        <v>0.19273531178355358</v>
      </c>
      <c r="T135" s="1">
        <v>0.50736427307128906</v>
      </c>
      <c r="U135" s="1">
        <v>2.2012179251760244E-3</v>
      </c>
    </row>
    <row r="136" spans="1:21" x14ac:dyDescent="0.3">
      <c r="A136" s="14">
        <v>23</v>
      </c>
      <c r="S136" s="1">
        <v>0.22150466014493597</v>
      </c>
      <c r="T136" s="1">
        <v>0.4554876983165741</v>
      </c>
      <c r="U136" s="1">
        <v>2.7824817225337029E-3</v>
      </c>
    </row>
    <row r="137" spans="1:21" x14ac:dyDescent="0.3">
      <c r="A137" s="14">
        <v>23</v>
      </c>
      <c r="S137" s="1">
        <v>0.20624141726126549</v>
      </c>
      <c r="T137" s="1">
        <v>0.51150369644165039</v>
      </c>
      <c r="U137" s="1">
        <v>2.4423680733889341E-3</v>
      </c>
    </row>
    <row r="138" spans="1:21" x14ac:dyDescent="0.3">
      <c r="A138" s="14">
        <v>27</v>
      </c>
      <c r="S138" s="1">
        <v>0.20816306196475162</v>
      </c>
      <c r="T138" s="1">
        <v>0.50186395645141602</v>
      </c>
      <c r="U138" s="1">
        <v>2.201135503128171E-3</v>
      </c>
    </row>
    <row r="139" spans="1:21" x14ac:dyDescent="0.3">
      <c r="A139" s="14">
        <v>27</v>
      </c>
      <c r="S139" s="1">
        <v>0.22419297361816168</v>
      </c>
      <c r="T139" s="1">
        <v>0.46128201484680176</v>
      </c>
      <c r="U139" s="1">
        <v>3.0186485964804888E-3</v>
      </c>
    </row>
    <row r="140" spans="1:21" x14ac:dyDescent="0.3">
      <c r="A140" s="14">
        <v>30</v>
      </c>
      <c r="S140" s="1">
        <v>0.21172415897473126</v>
      </c>
      <c r="T140" s="1">
        <v>0.49762514233589172</v>
      </c>
      <c r="U140" s="1">
        <v>1.4439127407968044E-3</v>
      </c>
    </row>
    <row r="141" spans="1:21" x14ac:dyDescent="0.3">
      <c r="A141" s="14">
        <v>30</v>
      </c>
      <c r="S141" s="1">
        <v>0.21299268708923963</v>
      </c>
      <c r="T141" s="1">
        <v>0.46226894855499268</v>
      </c>
      <c r="U141" s="1">
        <v>2.8173099271953106E-3</v>
      </c>
    </row>
    <row r="142" spans="1:21" x14ac:dyDescent="0.3">
      <c r="A142" s="14">
        <v>30</v>
      </c>
      <c r="S142" s="1">
        <v>0.20733043717367136</v>
      </c>
      <c r="T142" s="1">
        <v>0.44049203395843506</v>
      </c>
      <c r="U142" s="1">
        <v>3.9819865487515926E-3</v>
      </c>
    </row>
    <row r="143" spans="1:21" x14ac:dyDescent="0.3">
      <c r="A143" s="14">
        <v>30</v>
      </c>
      <c r="S143" s="1">
        <v>0.19009077570822966</v>
      </c>
      <c r="T143" s="1">
        <v>0.49239164590835571</v>
      </c>
      <c r="U143" s="1">
        <v>1.332439249381423E-3</v>
      </c>
    </row>
    <row r="144" spans="1:21" x14ac:dyDescent="0.3">
      <c r="A144" s="14">
        <v>38</v>
      </c>
      <c r="S144" s="1">
        <v>0.2036598123587692</v>
      </c>
      <c r="T144" s="1">
        <v>0.50062036514282227</v>
      </c>
      <c r="U144" s="1">
        <v>2.9163588769733906E-3</v>
      </c>
    </row>
    <row r="145" spans="1:21" x14ac:dyDescent="0.3">
      <c r="A145" s="14">
        <v>38</v>
      </c>
      <c r="S145" s="1">
        <v>0.17497919243176074</v>
      </c>
      <c r="T145" s="1">
        <v>0.46976464986801147</v>
      </c>
      <c r="U145" s="1">
        <v>3.8063328247517347E-3</v>
      </c>
    </row>
    <row r="146" spans="1:21" x14ac:dyDescent="0.3">
      <c r="A146" s="14">
        <v>38</v>
      </c>
      <c r="S146" s="1">
        <v>0.19880546333389337</v>
      </c>
      <c r="T146" s="1">
        <v>0.44895085692405701</v>
      </c>
      <c r="U146" s="1">
        <v>4.7109308652579784E-3</v>
      </c>
    </row>
    <row r="147" spans="1:21" x14ac:dyDescent="0.3">
      <c r="A147" s="14">
        <v>49</v>
      </c>
      <c r="S147" s="1">
        <v>0.21482802174816368</v>
      </c>
      <c r="T147" s="1">
        <v>0.48488584160804749</v>
      </c>
      <c r="U147" s="1">
        <v>2.7800179086625576E-3</v>
      </c>
    </row>
    <row r="148" spans="1:21" x14ac:dyDescent="0.3">
      <c r="A148" s="14">
        <v>49</v>
      </c>
      <c r="S148" s="1">
        <v>0.21874536348736173</v>
      </c>
      <c r="T148" s="1">
        <v>0.50607413053512573</v>
      </c>
      <c r="U148" s="1">
        <v>1.6393088735640049E-3</v>
      </c>
    </row>
    <row r="149" spans="1:21" x14ac:dyDescent="0.3">
      <c r="A149" s="14">
        <v>49</v>
      </c>
      <c r="S149" s="1">
        <v>0.21937751388142368</v>
      </c>
      <c r="T149" s="1">
        <v>0.47464844584465027</v>
      </c>
      <c r="U149" s="1">
        <v>2.6669546496123075E-3</v>
      </c>
    </row>
    <row r="150" spans="1:21" x14ac:dyDescent="0.3">
      <c r="A150" s="14">
        <v>60</v>
      </c>
      <c r="S150" s="1">
        <v>0.20559425365254438</v>
      </c>
      <c r="T150" s="1">
        <v>0.43443375825881958</v>
      </c>
      <c r="U150" s="1">
        <v>3.7487694062292576E-3</v>
      </c>
    </row>
    <row r="151" spans="1:21" x14ac:dyDescent="0.3">
      <c r="A151" s="14">
        <v>60</v>
      </c>
      <c r="S151" s="1">
        <v>0.21792504955606404</v>
      </c>
      <c r="T151" s="1">
        <v>0.46875843405723572</v>
      </c>
      <c r="U151" s="1">
        <v>2.1093490067869425E-3</v>
      </c>
    </row>
    <row r="152" spans="1:21" x14ac:dyDescent="0.3">
      <c r="A152" s="14">
        <v>72</v>
      </c>
      <c r="S152" s="1">
        <v>0.23896199907007259</v>
      </c>
      <c r="T152" s="1">
        <v>0.49600011110305786</v>
      </c>
      <c r="U152" s="1">
        <v>2.9405257664620876E-3</v>
      </c>
    </row>
    <row r="153" spans="1:21" x14ac:dyDescent="0.3">
      <c r="A153" s="14">
        <v>72</v>
      </c>
      <c r="S153" s="1">
        <v>0.22424549392229237</v>
      </c>
      <c r="T153" s="1">
        <v>0.42203247547149658</v>
      </c>
      <c r="U153" s="1">
        <v>4.0610791184008121E-3</v>
      </c>
    </row>
    <row r="154" spans="1:21" x14ac:dyDescent="0.3">
      <c r="A154" s="14">
        <v>101</v>
      </c>
      <c r="S154" s="1">
        <v>0.20000217871024151</v>
      </c>
      <c r="T154" s="1">
        <v>0.40844026207923889</v>
      </c>
      <c r="U154" s="1">
        <v>4.5148767530918121E-3</v>
      </c>
    </row>
    <row r="155" spans="1:21" x14ac:dyDescent="0.3">
      <c r="A155" s="14">
        <v>101</v>
      </c>
      <c r="S155" s="1">
        <v>0.20033721120684969</v>
      </c>
      <c r="T155" s="1">
        <v>0.48090830445289612</v>
      </c>
      <c r="U155" s="1">
        <v>3.5615535452961922E-3</v>
      </c>
    </row>
    <row r="156" spans="1:21" x14ac:dyDescent="0.3">
      <c r="A156" s="14">
        <v>101</v>
      </c>
      <c r="S156" s="1">
        <v>0.21443493885088705</v>
      </c>
      <c r="T156" s="1">
        <v>0.46936184167861938</v>
      </c>
      <c r="U156" s="1">
        <v>2.9940856620669365E-3</v>
      </c>
    </row>
    <row r="157" spans="1:21" x14ac:dyDescent="0.3">
      <c r="A157" s="14">
        <v>106</v>
      </c>
      <c r="S157" s="1">
        <v>0.18274774520134165</v>
      </c>
      <c r="T157" s="1">
        <v>0.48722711205482483</v>
      </c>
      <c r="U157" s="1">
        <v>2.6645809412002563E-3</v>
      </c>
    </row>
    <row r="158" spans="1:21" x14ac:dyDescent="0.3">
      <c r="A158" s="14">
        <v>106</v>
      </c>
      <c r="S158" s="1">
        <v>0.16680518327478827</v>
      </c>
      <c r="T158" s="1">
        <v>0.48434093594551086</v>
      </c>
      <c r="U158" s="1">
        <v>2.7346436399966478E-3</v>
      </c>
    </row>
    <row r="159" spans="1:21" x14ac:dyDescent="0.3">
      <c r="A159" s="14">
        <v>106</v>
      </c>
      <c r="S159" s="1">
        <v>0.22686579156304121</v>
      </c>
      <c r="T159" s="1">
        <v>0.52669394016265869</v>
      </c>
      <c r="U159" s="1">
        <v>2.0768046379089355E-3</v>
      </c>
    </row>
    <row r="160" spans="1:21" x14ac:dyDescent="0.3">
      <c r="A160" s="14">
        <v>125</v>
      </c>
    </row>
    <row r="161" spans="1:1" x14ac:dyDescent="0.3">
      <c r="A161" s="14">
        <v>125</v>
      </c>
    </row>
    <row r="162" spans="1:1" x14ac:dyDescent="0.3">
      <c r="A162" s="14">
        <v>125</v>
      </c>
    </row>
    <row r="163" spans="1:1" x14ac:dyDescent="0.3">
      <c r="A163" s="15">
        <v>6</v>
      </c>
    </row>
    <row r="164" spans="1:1" x14ac:dyDescent="0.3">
      <c r="A164" s="15">
        <v>6</v>
      </c>
    </row>
    <row r="165" spans="1:1" x14ac:dyDescent="0.3">
      <c r="A165" s="15">
        <v>6</v>
      </c>
    </row>
    <row r="166" spans="1:1" x14ac:dyDescent="0.3">
      <c r="A166" s="15">
        <v>38</v>
      </c>
    </row>
    <row r="167" spans="1:1" x14ac:dyDescent="0.3">
      <c r="A167" s="15">
        <v>38</v>
      </c>
    </row>
    <row r="168" spans="1:1" x14ac:dyDescent="0.3">
      <c r="A168" s="15">
        <v>38</v>
      </c>
    </row>
    <row r="169" spans="1:1" x14ac:dyDescent="0.3">
      <c r="A169" s="15">
        <v>42</v>
      </c>
    </row>
    <row r="170" spans="1:1" x14ac:dyDescent="0.3">
      <c r="A170" s="15">
        <v>42</v>
      </c>
    </row>
    <row r="171" spans="1:1" x14ac:dyDescent="0.3">
      <c r="A171" s="15">
        <v>42</v>
      </c>
    </row>
    <row r="172" spans="1:1" x14ac:dyDescent="0.3">
      <c r="A172" s="15">
        <v>42</v>
      </c>
    </row>
    <row r="173" spans="1:1" x14ac:dyDescent="0.3">
      <c r="A173" s="15">
        <v>42</v>
      </c>
    </row>
    <row r="174" spans="1:1" x14ac:dyDescent="0.3">
      <c r="A174" s="15">
        <v>42</v>
      </c>
    </row>
    <row r="175" spans="1:1" x14ac:dyDescent="0.3">
      <c r="A175" s="15">
        <v>55</v>
      </c>
    </row>
    <row r="176" spans="1:1" x14ac:dyDescent="0.3">
      <c r="A176" s="15">
        <v>55</v>
      </c>
    </row>
    <row r="177" spans="1:1" x14ac:dyDescent="0.3">
      <c r="A177" s="15">
        <v>55</v>
      </c>
    </row>
    <row r="178" spans="1:1" x14ac:dyDescent="0.3">
      <c r="A178" s="15">
        <v>55</v>
      </c>
    </row>
    <row r="179" spans="1:1" x14ac:dyDescent="0.3">
      <c r="A179" s="15">
        <v>55</v>
      </c>
    </row>
    <row r="180" spans="1:1" x14ac:dyDescent="0.3">
      <c r="A180" s="15">
        <v>55</v>
      </c>
    </row>
    <row r="181" spans="1:1" x14ac:dyDescent="0.3">
      <c r="A181" s="15">
        <v>56.5</v>
      </c>
    </row>
    <row r="182" spans="1:1" x14ac:dyDescent="0.3">
      <c r="A182" s="15">
        <v>56.5</v>
      </c>
    </row>
    <row r="183" spans="1:1" x14ac:dyDescent="0.3">
      <c r="A183" s="15">
        <v>56.5</v>
      </c>
    </row>
    <row r="184" spans="1:1" x14ac:dyDescent="0.3">
      <c r="A184" s="15">
        <v>31</v>
      </c>
    </row>
    <row r="185" spans="1:1" x14ac:dyDescent="0.3">
      <c r="A185" s="15">
        <v>31</v>
      </c>
    </row>
    <row r="186" spans="1:1" x14ac:dyDescent="0.3">
      <c r="A186" s="15">
        <v>31</v>
      </c>
    </row>
    <row r="187" spans="1:1" x14ac:dyDescent="0.3">
      <c r="A187" s="15">
        <v>5</v>
      </c>
    </row>
    <row r="188" spans="1:1" x14ac:dyDescent="0.3">
      <c r="A188" s="15">
        <v>5</v>
      </c>
    </row>
    <row r="189" spans="1:1" x14ac:dyDescent="0.3">
      <c r="A189" s="15">
        <v>5</v>
      </c>
    </row>
    <row r="190" spans="1:1" x14ac:dyDescent="0.3">
      <c r="A190" s="15">
        <v>25</v>
      </c>
    </row>
    <row r="191" spans="1:1" x14ac:dyDescent="0.3">
      <c r="A191" s="15">
        <v>25</v>
      </c>
    </row>
    <row r="192" spans="1:1" x14ac:dyDescent="0.3">
      <c r="A192" s="15">
        <v>4</v>
      </c>
    </row>
    <row r="193" spans="1:1" x14ac:dyDescent="0.3">
      <c r="A193" s="15">
        <v>4</v>
      </c>
    </row>
    <row r="194" spans="1:1" x14ac:dyDescent="0.3">
      <c r="A194" s="15">
        <v>4</v>
      </c>
    </row>
    <row r="195" spans="1:1" x14ac:dyDescent="0.3">
      <c r="A195" s="15">
        <v>4</v>
      </c>
    </row>
    <row r="196" spans="1:1" x14ac:dyDescent="0.3">
      <c r="A196" s="15">
        <v>14</v>
      </c>
    </row>
    <row r="197" spans="1:1" x14ac:dyDescent="0.3">
      <c r="A197" s="15">
        <v>14</v>
      </c>
    </row>
    <row r="198" spans="1:1" x14ac:dyDescent="0.3">
      <c r="A198" s="15">
        <v>3</v>
      </c>
    </row>
    <row r="199" spans="1:1" x14ac:dyDescent="0.3">
      <c r="A199" s="15">
        <v>3</v>
      </c>
    </row>
    <row r="200" spans="1:1" x14ac:dyDescent="0.3">
      <c r="A200" s="15">
        <v>3</v>
      </c>
    </row>
    <row r="201" spans="1:1" x14ac:dyDescent="0.3">
      <c r="A201" s="15">
        <v>64.5</v>
      </c>
    </row>
    <row r="202" spans="1:1" x14ac:dyDescent="0.3">
      <c r="A202" s="15">
        <v>64.5</v>
      </c>
    </row>
    <row r="203" spans="1:1" x14ac:dyDescent="0.3">
      <c r="A203" s="15">
        <v>64.5</v>
      </c>
    </row>
    <row r="204" spans="1:1" x14ac:dyDescent="0.3">
      <c r="A204" s="15">
        <v>16</v>
      </c>
    </row>
    <row r="205" spans="1:1" x14ac:dyDescent="0.3">
      <c r="A205" s="15">
        <v>16</v>
      </c>
    </row>
    <row r="206" spans="1:1" x14ac:dyDescent="0.3">
      <c r="A206" s="15">
        <v>16</v>
      </c>
    </row>
    <row r="207" spans="1:1" x14ac:dyDescent="0.3">
      <c r="A207" s="15">
        <v>16</v>
      </c>
    </row>
    <row r="208" spans="1:1" x14ac:dyDescent="0.3">
      <c r="A208" s="15">
        <v>32.5</v>
      </c>
    </row>
    <row r="209" spans="1:1" x14ac:dyDescent="0.3">
      <c r="A209" s="15">
        <v>32.5</v>
      </c>
    </row>
    <row r="210" spans="1:1" x14ac:dyDescent="0.3">
      <c r="A210" s="15">
        <v>32.5</v>
      </c>
    </row>
    <row r="211" spans="1:1" x14ac:dyDescent="0.3">
      <c r="A211" s="15">
        <v>12</v>
      </c>
    </row>
    <row r="212" spans="1:1" x14ac:dyDescent="0.3">
      <c r="A212" s="15">
        <v>12</v>
      </c>
    </row>
    <row r="213" spans="1:1" x14ac:dyDescent="0.3">
      <c r="A213" s="15">
        <v>12</v>
      </c>
    </row>
    <row r="214" spans="1:1" x14ac:dyDescent="0.3">
      <c r="A214" s="15">
        <v>12</v>
      </c>
    </row>
    <row r="215" spans="1:1" x14ac:dyDescent="0.3">
      <c r="A215" s="15">
        <v>12</v>
      </c>
    </row>
    <row r="216" spans="1:1" x14ac:dyDescent="0.3">
      <c r="A216" s="15">
        <v>4.5</v>
      </c>
    </row>
    <row r="217" spans="1:1" x14ac:dyDescent="0.3">
      <c r="A217" s="15">
        <v>4.5</v>
      </c>
    </row>
    <row r="218" spans="1:1" x14ac:dyDescent="0.3">
      <c r="A218" s="15">
        <v>4.5</v>
      </c>
    </row>
    <row r="219" spans="1:1" x14ac:dyDescent="0.3">
      <c r="A219" s="15">
        <v>4.5</v>
      </c>
    </row>
    <row r="220" spans="1:1" x14ac:dyDescent="0.3">
      <c r="A220" s="15">
        <v>7.5</v>
      </c>
    </row>
    <row r="221" spans="1:1" x14ac:dyDescent="0.3">
      <c r="A221" s="15">
        <v>7.5</v>
      </c>
    </row>
    <row r="222" spans="1:1" x14ac:dyDescent="0.3">
      <c r="A222" s="15">
        <v>33.5</v>
      </c>
    </row>
    <row r="223" spans="1:1" x14ac:dyDescent="0.3">
      <c r="A223" s="15">
        <v>33.5</v>
      </c>
    </row>
    <row r="224" spans="1:1" x14ac:dyDescent="0.3">
      <c r="A224" s="15">
        <v>99</v>
      </c>
    </row>
    <row r="225" spans="1:1" x14ac:dyDescent="0.3">
      <c r="A225" s="15">
        <v>99</v>
      </c>
    </row>
    <row r="226" spans="1:1" x14ac:dyDescent="0.3">
      <c r="A226" s="15">
        <v>10</v>
      </c>
    </row>
    <row r="227" spans="1:1" x14ac:dyDescent="0.3">
      <c r="A227" s="15">
        <v>10</v>
      </c>
    </row>
    <row r="228" spans="1:1" x14ac:dyDescent="0.3">
      <c r="A228" s="15">
        <v>10</v>
      </c>
    </row>
    <row r="229" spans="1:1" x14ac:dyDescent="0.3">
      <c r="A229" s="15">
        <v>8</v>
      </c>
    </row>
    <row r="230" spans="1:1" x14ac:dyDescent="0.3">
      <c r="A230" s="15">
        <v>8</v>
      </c>
    </row>
    <row r="231" spans="1:1" x14ac:dyDescent="0.3">
      <c r="A231" s="15">
        <v>8</v>
      </c>
    </row>
    <row r="232" spans="1:1" x14ac:dyDescent="0.3">
      <c r="A232" s="15">
        <v>8</v>
      </c>
    </row>
    <row r="233" spans="1:1" x14ac:dyDescent="0.3">
      <c r="A233" s="15">
        <v>22</v>
      </c>
    </row>
    <row r="234" spans="1:1" x14ac:dyDescent="0.3">
      <c r="A234" s="15">
        <v>22</v>
      </c>
    </row>
    <row r="235" spans="1:1" x14ac:dyDescent="0.3">
      <c r="A235" s="15">
        <v>22</v>
      </c>
    </row>
    <row r="236" spans="1:1" x14ac:dyDescent="0.3">
      <c r="A236" s="15">
        <v>40</v>
      </c>
    </row>
    <row r="237" spans="1:1" x14ac:dyDescent="0.3">
      <c r="A237" s="15">
        <v>40</v>
      </c>
    </row>
    <row r="238" spans="1:1" x14ac:dyDescent="0.3">
      <c r="A238" s="15">
        <v>8</v>
      </c>
    </row>
    <row r="239" spans="1:1" x14ac:dyDescent="0.3">
      <c r="A239" s="15">
        <v>8</v>
      </c>
    </row>
    <row r="240" spans="1:1" x14ac:dyDescent="0.3">
      <c r="A240" s="15">
        <v>8</v>
      </c>
    </row>
    <row r="241" spans="1:1" x14ac:dyDescent="0.3">
      <c r="A241" s="15">
        <v>10.5</v>
      </c>
    </row>
    <row r="242" spans="1:1" x14ac:dyDescent="0.3">
      <c r="A242" s="15">
        <v>10.5</v>
      </c>
    </row>
    <row r="243" spans="1:1" x14ac:dyDescent="0.3">
      <c r="A243" s="15">
        <v>10.5</v>
      </c>
    </row>
    <row r="244" spans="1:1" x14ac:dyDescent="0.3">
      <c r="A244" s="15">
        <v>10.5</v>
      </c>
    </row>
    <row r="245" spans="1:1" x14ac:dyDescent="0.3">
      <c r="A245" s="15">
        <v>68</v>
      </c>
    </row>
    <row r="246" spans="1:1" x14ac:dyDescent="0.3">
      <c r="A246" s="15">
        <v>68</v>
      </c>
    </row>
  </sheetData>
  <mergeCells count="1">
    <mergeCell ref="K44:L44"/>
  </mergeCells>
  <phoneticPr fontId="3" type="noConversion"/>
  <pageMargins left="0.7" right="0.7" top="0.75" bottom="0.75" header="0.3" footer="0.3"/>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
  <dimension ref="A2:AF29"/>
  <sheetViews>
    <sheetView zoomScale="90" zoomScaleNormal="90" workbookViewId="0">
      <selection activeCell="P7" sqref="P7"/>
    </sheetView>
  </sheetViews>
  <sheetFormatPr defaultRowHeight="14.4" x14ac:dyDescent="0.3"/>
  <cols>
    <col min="1" max="1" width="10.5546875" bestFit="1" customWidth="1"/>
    <col min="4" max="4" width="16" bestFit="1" customWidth="1"/>
    <col min="6" max="6" width="15.44140625" bestFit="1" customWidth="1"/>
    <col min="8" max="8" width="12" bestFit="1" customWidth="1"/>
    <col min="9" max="9" width="16" bestFit="1" customWidth="1"/>
    <col min="11" max="11" width="15.44140625" bestFit="1" customWidth="1"/>
    <col min="13" max="13" width="11" bestFit="1" customWidth="1"/>
  </cols>
  <sheetData>
    <row r="2" spans="1:13" x14ac:dyDescent="0.3">
      <c r="D2" s="30" t="s">
        <v>48</v>
      </c>
      <c r="E2" s="30"/>
      <c r="F2" s="30"/>
      <c r="G2" s="30"/>
      <c r="H2" s="30"/>
      <c r="I2" s="28" t="s">
        <v>49</v>
      </c>
      <c r="J2" s="28"/>
      <c r="K2" s="28"/>
      <c r="L2" s="28"/>
      <c r="M2" s="28"/>
    </row>
    <row r="3" spans="1:13" x14ac:dyDescent="0.3">
      <c r="A3" t="s">
        <v>12</v>
      </c>
      <c r="B3" t="s">
        <v>15</v>
      </c>
      <c r="C3" t="s">
        <v>16</v>
      </c>
      <c r="D3" s="31" t="s">
        <v>17</v>
      </c>
      <c r="E3" s="31" t="s">
        <v>11</v>
      </c>
      <c r="F3" s="31" t="s">
        <v>18</v>
      </c>
      <c r="G3" s="31" t="s">
        <v>10</v>
      </c>
      <c r="H3" s="31" t="s">
        <v>13</v>
      </c>
      <c r="I3" s="29" t="s">
        <v>17</v>
      </c>
      <c r="J3" s="29" t="s">
        <v>11</v>
      </c>
      <c r="K3" s="29" t="s">
        <v>18</v>
      </c>
      <c r="L3" s="29" t="s">
        <v>10</v>
      </c>
      <c r="M3" s="29" t="s">
        <v>13</v>
      </c>
    </row>
    <row r="4" spans="1:13" x14ac:dyDescent="0.3">
      <c r="A4">
        <v>0.2</v>
      </c>
      <c r="B4">
        <v>3.0000000260770321E-3</v>
      </c>
      <c r="C4">
        <v>5.000000074505806E-2</v>
      </c>
      <c r="D4" s="31">
        <v>2.4181127082556486E-3</v>
      </c>
      <c r="E4" s="31">
        <v>1.131078228354454E-3</v>
      </c>
      <c r="F4" s="31">
        <v>0.10236462950706482</v>
      </c>
      <c r="G4" s="31">
        <v>8.623727411031723E-2</v>
      </c>
      <c r="H4" s="31">
        <v>0.12536470592021942</v>
      </c>
      <c r="I4" s="29">
        <v>6.3941092230379581E-4</v>
      </c>
      <c r="J4" s="29">
        <v>2.9398853075690567E-4</v>
      </c>
      <c r="K4" s="29">
        <v>0.25459852814674377</v>
      </c>
      <c r="L4" s="29">
        <v>5.0388076342642307E-3</v>
      </c>
      <c r="M4" s="29">
        <v>7.7019304037094116E-2</v>
      </c>
    </row>
    <row r="5" spans="1:13" x14ac:dyDescent="0.3">
      <c r="A5">
        <v>0.2</v>
      </c>
      <c r="B5">
        <v>3.0000000260770321E-3</v>
      </c>
      <c r="C5">
        <v>7.5000002980232239E-2</v>
      </c>
      <c r="D5" s="31">
        <v>2.8004436753690243E-3</v>
      </c>
      <c r="E5" s="31">
        <v>1.1163125745952129E-3</v>
      </c>
      <c r="F5" s="31">
        <v>9.8138906061649323E-2</v>
      </c>
      <c r="G5" s="31">
        <v>7.8865639865398407E-2</v>
      </c>
      <c r="H5" s="31">
        <v>0.13161729276180267</v>
      </c>
      <c r="I5" s="29">
        <v>8.546525496058166E-4</v>
      </c>
      <c r="J5" s="29">
        <v>3.3355833147652447E-4</v>
      </c>
      <c r="K5" s="29">
        <v>0.25189384818077087</v>
      </c>
      <c r="L5" s="29">
        <v>5.4129851050674915E-3</v>
      </c>
      <c r="M5" s="29">
        <v>8.8135451078414917E-2</v>
      </c>
    </row>
    <row r="6" spans="1:13" x14ac:dyDescent="0.3">
      <c r="A6">
        <v>0.2</v>
      </c>
      <c r="B6">
        <v>3.0000000260770321E-3</v>
      </c>
      <c r="C6">
        <v>0.10000000149011612</v>
      </c>
      <c r="D6" s="31">
        <v>3.023659810423851E-3</v>
      </c>
      <c r="E6" s="31">
        <v>1.0601836256682873E-3</v>
      </c>
      <c r="F6" s="31">
        <v>9.7428254783153534E-2</v>
      </c>
      <c r="G6" s="31">
        <v>7.1884132921695709E-2</v>
      </c>
      <c r="H6" s="31">
        <v>0.17024967074394226</v>
      </c>
      <c r="I6" s="29">
        <v>1.0104686953127384E-3</v>
      </c>
      <c r="J6" s="29">
        <v>3.191427094861865E-4</v>
      </c>
      <c r="K6" s="29">
        <v>0.25067323446273804</v>
      </c>
      <c r="L6" s="29">
        <v>5.0905789248645306E-3</v>
      </c>
      <c r="M6" s="29">
        <v>9.9765919148921967E-2</v>
      </c>
    </row>
    <row r="7" spans="1:13" x14ac:dyDescent="0.3">
      <c r="A7">
        <v>0.2</v>
      </c>
      <c r="B7">
        <v>3.0000000260770321E-3</v>
      </c>
      <c r="C7">
        <v>0.125</v>
      </c>
      <c r="D7" s="31">
        <v>3.1376443803310394E-3</v>
      </c>
      <c r="E7" s="31">
        <v>8.6438626749441028E-4</v>
      </c>
      <c r="F7" s="31">
        <v>0.11481229960918427</v>
      </c>
      <c r="G7" s="31">
        <v>5.9944950044155121E-2</v>
      </c>
      <c r="H7" s="31">
        <v>0.17699652910232544</v>
      </c>
      <c r="I7" s="29">
        <v>1.3053237926214933E-3</v>
      </c>
      <c r="J7" s="29">
        <v>3.4118449548259377E-4</v>
      </c>
      <c r="K7" s="29">
        <v>0.24847830832004547</v>
      </c>
      <c r="L7" s="29">
        <v>5.4549891501665115E-3</v>
      </c>
      <c r="M7" s="29">
        <v>0.10953816771507263</v>
      </c>
    </row>
    <row r="8" spans="1:13" x14ac:dyDescent="0.3">
      <c r="A8">
        <v>0.2</v>
      </c>
      <c r="B8">
        <v>3.0000000260770321E-3</v>
      </c>
      <c r="C8">
        <v>0.15000000596046448</v>
      </c>
      <c r="D8" s="31">
        <v>2.9320335015654564E-3</v>
      </c>
      <c r="E8" s="31">
        <v>8.4792636334896088E-4</v>
      </c>
      <c r="F8" s="31">
        <v>0.14930111169815063</v>
      </c>
      <c r="G8" s="31">
        <v>5.1081020385026932E-2</v>
      </c>
      <c r="H8" s="31">
        <v>0.17069640755653381</v>
      </c>
      <c r="I8" s="29">
        <v>1.4864709228277206E-3</v>
      </c>
      <c r="J8" s="29">
        <v>3.5225809551775455E-4</v>
      </c>
      <c r="K8" s="29">
        <v>0.24784907698631287</v>
      </c>
      <c r="L8" s="29">
        <v>5.6689903140068054E-3</v>
      </c>
      <c r="M8" s="29">
        <v>0.11286147683858871</v>
      </c>
    </row>
    <row r="9" spans="1:13" x14ac:dyDescent="0.3">
      <c r="A9">
        <v>0.2</v>
      </c>
      <c r="B9">
        <v>3.0000000260770321E-3</v>
      </c>
      <c r="C9">
        <v>0.17499999701976776</v>
      </c>
      <c r="D9" s="31">
        <v>3.0742436647415161E-3</v>
      </c>
      <c r="E9" s="31">
        <v>9.3718757852911949E-4</v>
      </c>
      <c r="F9" s="31">
        <v>0.16694246232509613</v>
      </c>
      <c r="G9" s="31">
        <v>4.9063291400671005E-2</v>
      </c>
      <c r="H9" s="31">
        <v>0.17210519313812256</v>
      </c>
      <c r="I9" s="29">
        <v>1.787671004422009E-3</v>
      </c>
      <c r="J9" s="29">
        <v>4.5075605157762766E-4</v>
      </c>
      <c r="K9" s="29">
        <v>0.24742639064788818</v>
      </c>
      <c r="L9" s="29">
        <v>7.003959733992815E-3</v>
      </c>
      <c r="M9" s="29">
        <v>0.11781781166791916</v>
      </c>
    </row>
    <row r="10" spans="1:13" x14ac:dyDescent="0.3">
      <c r="A10">
        <v>0.2</v>
      </c>
      <c r="B10">
        <v>3.0000000260770321E-3</v>
      </c>
      <c r="C10">
        <v>0.20000000298023224</v>
      </c>
      <c r="D10" s="31">
        <v>3.0457258690148592E-3</v>
      </c>
      <c r="E10" s="31">
        <v>6.9060304667800665E-4</v>
      </c>
      <c r="F10" s="31">
        <v>0.19957318902015686</v>
      </c>
      <c r="G10" s="31">
        <v>2.6488181203603745E-2</v>
      </c>
      <c r="H10" s="31">
        <v>0.1875603049993515</v>
      </c>
      <c r="I10" s="29">
        <v>2.2317029070109129E-3</v>
      </c>
      <c r="J10" s="29">
        <v>5.0441513303667307E-4</v>
      </c>
      <c r="K10" s="29">
        <v>0.24940209090709686</v>
      </c>
      <c r="L10" s="29">
        <v>7.2668143548071384E-3</v>
      </c>
      <c r="M10" s="29">
        <v>0.13652509450912476</v>
      </c>
    </row>
    <row r="11" spans="1:13" x14ac:dyDescent="0.3">
      <c r="A11">
        <v>0.2</v>
      </c>
      <c r="B11">
        <v>3.0000000260770321E-3</v>
      </c>
      <c r="C11">
        <v>0.22499999403953552</v>
      </c>
      <c r="D11" s="31">
        <v>3.0757596250623465E-3</v>
      </c>
      <c r="E11" s="31">
        <v>5.7446962455287576E-4</v>
      </c>
      <c r="F11" s="31">
        <v>0.22421459853649139</v>
      </c>
      <c r="G11" s="31">
        <v>2.2005623206496239E-2</v>
      </c>
      <c r="H11" s="31">
        <v>0.18549072742462158</v>
      </c>
      <c r="I11" s="29">
        <v>2.5299580302089453E-3</v>
      </c>
      <c r="J11" s="29">
        <v>4.4921450898982584E-4</v>
      </c>
      <c r="K11" s="29">
        <v>0.25558239221572876</v>
      </c>
      <c r="L11" s="29">
        <v>8.9196264743804932E-3</v>
      </c>
      <c r="M11" s="29">
        <v>0.14889237284660339</v>
      </c>
    </row>
    <row r="12" spans="1:13" x14ac:dyDescent="0.3">
      <c r="A12">
        <v>0.2</v>
      </c>
      <c r="B12">
        <v>3.0000000260770321E-3</v>
      </c>
      <c r="C12">
        <v>0.25</v>
      </c>
      <c r="D12" s="31">
        <v>3.0309620779007673E-3</v>
      </c>
      <c r="E12" s="31">
        <v>5.3997879149392247E-4</v>
      </c>
      <c r="F12" s="31">
        <v>0.2493581622838974</v>
      </c>
      <c r="G12" s="31">
        <v>1.8891381099820137E-2</v>
      </c>
      <c r="H12" s="31">
        <v>0.1933063268661499</v>
      </c>
      <c r="I12" s="29">
        <v>2.6816509198397398E-3</v>
      </c>
      <c r="J12" s="29">
        <v>4.6452489914372563E-4</v>
      </c>
      <c r="K12" s="29">
        <v>0.26786196231842041</v>
      </c>
      <c r="L12" s="29">
        <v>1.0895892046391964E-2</v>
      </c>
      <c r="M12" s="29">
        <v>0.16989538073539734</v>
      </c>
    </row>
    <row r="13" spans="1:13" x14ac:dyDescent="0.3">
      <c r="A13">
        <v>0.2</v>
      </c>
      <c r="B13">
        <v>3.0000000260770321E-3</v>
      </c>
      <c r="C13">
        <v>0.27500000596046448</v>
      </c>
      <c r="D13" s="31">
        <v>3.0385318677872419E-3</v>
      </c>
      <c r="E13" s="31">
        <v>5.5993045680224895E-4</v>
      </c>
      <c r="F13" s="31">
        <v>0.27360066771507263</v>
      </c>
      <c r="G13" s="31">
        <v>1.9405774772167206E-2</v>
      </c>
      <c r="H13" s="31">
        <v>0.19590240716934204</v>
      </c>
      <c r="I13" s="29">
        <v>2.8193416073918343E-3</v>
      </c>
      <c r="J13" s="29">
        <v>5.0758686847984791E-4</v>
      </c>
      <c r="K13" s="29">
        <v>0.28411760926246643</v>
      </c>
      <c r="L13" s="29">
        <v>1.440394576638937E-2</v>
      </c>
      <c r="M13" s="29">
        <v>0.18368187546730042</v>
      </c>
    </row>
    <row r="14" spans="1:13" x14ac:dyDescent="0.3">
      <c r="A14">
        <v>0.2</v>
      </c>
      <c r="B14">
        <v>3.0000000260770321E-3</v>
      </c>
      <c r="C14">
        <v>0.30000001192092896</v>
      </c>
      <c r="D14" s="31">
        <v>2.9792089480906725E-3</v>
      </c>
      <c r="E14" s="31">
        <v>5.822176462970674E-4</v>
      </c>
      <c r="F14" s="31">
        <v>0.30223134160041809</v>
      </c>
      <c r="G14" s="31">
        <v>1.8275836482644081E-2</v>
      </c>
      <c r="H14" s="31">
        <v>0.19338539242744446</v>
      </c>
      <c r="I14" s="29">
        <v>2.8616182971745729E-3</v>
      </c>
      <c r="J14" s="29">
        <v>5.4485007422044873E-4</v>
      </c>
      <c r="K14" s="29">
        <v>0.30637630820274353</v>
      </c>
      <c r="L14" s="29">
        <v>1.5117159113287926E-2</v>
      </c>
      <c r="M14" s="29">
        <v>0.19221971929073334</v>
      </c>
    </row>
    <row r="15" spans="1:13" x14ac:dyDescent="0.3">
      <c r="A15">
        <v>0.2</v>
      </c>
      <c r="B15">
        <v>3.0000000260770321E-3</v>
      </c>
      <c r="C15">
        <v>0.32499998807907104</v>
      </c>
      <c r="D15" s="31">
        <v>2.9994859360158443E-3</v>
      </c>
      <c r="E15" s="31">
        <v>6.8581849336624146E-4</v>
      </c>
      <c r="F15" s="31">
        <v>0.32552611827850342</v>
      </c>
      <c r="G15" s="31">
        <v>2.0248739048838615E-2</v>
      </c>
      <c r="H15" s="31">
        <v>0.19242620468139648</v>
      </c>
      <c r="I15" s="29">
        <v>2.9389555566012859E-3</v>
      </c>
      <c r="J15" s="29">
        <v>6.7248614504933357E-4</v>
      </c>
      <c r="K15" s="29">
        <v>0.32652008533477783</v>
      </c>
      <c r="L15" s="29">
        <v>1.895647868514061E-2</v>
      </c>
      <c r="M15" s="29">
        <v>0.19705799221992493</v>
      </c>
    </row>
    <row r="16" spans="1:13" x14ac:dyDescent="0.3">
      <c r="A16">
        <v>0.2</v>
      </c>
      <c r="B16">
        <v>3.0000000260770321E-3</v>
      </c>
      <c r="C16">
        <v>0.34999999403953552</v>
      </c>
      <c r="D16" s="31">
        <v>3.0602612532675266E-3</v>
      </c>
      <c r="E16" s="31">
        <v>6.4614479197189212E-4</v>
      </c>
      <c r="F16" s="31">
        <v>0.34755802154541016</v>
      </c>
      <c r="G16" s="31">
        <v>2.1222308278083801E-2</v>
      </c>
      <c r="H16" s="31">
        <v>0.19006358087062836</v>
      </c>
      <c r="I16" s="29">
        <v>3.0220213811844587E-3</v>
      </c>
      <c r="J16" s="29">
        <v>6.3566968310624361E-4</v>
      </c>
      <c r="K16" s="29">
        <v>0.34697103500366211</v>
      </c>
      <c r="L16" s="29">
        <v>2.0246062427759171E-2</v>
      </c>
      <c r="M16" s="29">
        <v>0.19862273335456848</v>
      </c>
    </row>
    <row r="17" spans="1:32" x14ac:dyDescent="0.3">
      <c r="A17">
        <v>0.2</v>
      </c>
      <c r="B17">
        <v>3.0000000260770321E-3</v>
      </c>
      <c r="C17">
        <v>0.375</v>
      </c>
      <c r="D17" s="31">
        <v>3.1094285659492016E-3</v>
      </c>
      <c r="E17" s="31">
        <v>5.7386944536119699E-4</v>
      </c>
      <c r="F17" s="31">
        <v>0.37172329425811768</v>
      </c>
      <c r="G17" s="31">
        <v>2.0618744194507599E-2</v>
      </c>
      <c r="H17" s="31">
        <v>0.18951238691806793</v>
      </c>
      <c r="I17" s="29">
        <v>3.0849084723740816E-3</v>
      </c>
      <c r="J17" s="29">
        <v>5.644360207952559E-4</v>
      </c>
      <c r="K17" s="29">
        <v>0.37014627456665039</v>
      </c>
      <c r="L17" s="29">
        <v>2.0213507115840912E-2</v>
      </c>
      <c r="M17" s="29">
        <v>0.20032671093940735</v>
      </c>
    </row>
    <row r="18" spans="1:32" x14ac:dyDescent="0.3">
      <c r="A18">
        <v>0.2</v>
      </c>
      <c r="B18">
        <v>3.0000000260770321E-3</v>
      </c>
      <c r="C18">
        <v>0.40000000596046448</v>
      </c>
      <c r="D18" s="31">
        <v>3.0671728309243917E-3</v>
      </c>
      <c r="E18" s="31">
        <v>7.4186036363244057E-4</v>
      </c>
      <c r="F18" s="31">
        <v>0.399025559425354</v>
      </c>
      <c r="G18" s="31">
        <v>2.2657474502921104E-2</v>
      </c>
      <c r="H18" s="31">
        <v>0.18776910006999969</v>
      </c>
      <c r="I18" s="29">
        <v>3.0496630351990461E-3</v>
      </c>
      <c r="J18" s="29">
        <v>7.4299314292147756E-4</v>
      </c>
      <c r="K18" s="29">
        <v>0.39688658714294434</v>
      </c>
      <c r="L18" s="29">
        <v>2.2495318204164505E-2</v>
      </c>
      <c r="M18" s="29">
        <v>0.20004062354564667</v>
      </c>
    </row>
    <row r="19" spans="1:32" x14ac:dyDescent="0.3">
      <c r="A19">
        <v>0.2</v>
      </c>
      <c r="B19">
        <v>3.0000000260770321E-3</v>
      </c>
      <c r="C19">
        <v>0.42500001192092896</v>
      </c>
      <c r="D19" s="31">
        <v>3.0986324418336153E-3</v>
      </c>
      <c r="E19" s="31">
        <v>6.8702379940077662E-4</v>
      </c>
      <c r="F19" s="31">
        <v>0.42574459314346313</v>
      </c>
      <c r="G19" s="31">
        <v>2.3513779044151306E-2</v>
      </c>
      <c r="H19" s="31">
        <v>0.1863945871591568</v>
      </c>
      <c r="I19" s="29">
        <v>3.0864223372191191E-3</v>
      </c>
      <c r="J19" s="29">
        <v>6.8030849797651172E-4</v>
      </c>
      <c r="K19" s="29">
        <v>0.42317658662796021</v>
      </c>
      <c r="L19" s="29">
        <v>2.3386519402265549E-2</v>
      </c>
      <c r="M19" s="29">
        <v>0.1995173841714859</v>
      </c>
    </row>
    <row r="20" spans="1:32" x14ac:dyDescent="0.3">
      <c r="A20">
        <v>0.2</v>
      </c>
      <c r="B20">
        <v>3.0000000260770321E-3</v>
      </c>
      <c r="C20">
        <v>0.44999998807907104</v>
      </c>
      <c r="D20" s="31">
        <v>3.2334425486624241E-3</v>
      </c>
      <c r="E20" s="31">
        <v>9.2469819355756044E-4</v>
      </c>
      <c r="F20" s="31">
        <v>0.44999009370803833</v>
      </c>
      <c r="G20" s="31">
        <v>2.9580360278487206E-2</v>
      </c>
      <c r="H20" s="31">
        <v>0.19363760948181152</v>
      </c>
      <c r="I20" s="29">
        <v>3.2143723219633102E-3</v>
      </c>
      <c r="J20" s="29">
        <v>9.1989530483260751E-4</v>
      </c>
      <c r="K20" s="29">
        <v>0.44754409790039063</v>
      </c>
      <c r="L20" s="29">
        <v>2.9574312269687653E-2</v>
      </c>
      <c r="M20" s="29">
        <v>0.20648083090782166</v>
      </c>
    </row>
    <row r="21" spans="1:32" x14ac:dyDescent="0.3">
      <c r="B21">
        <v>3.0000000260770321E-3</v>
      </c>
      <c r="C21">
        <v>0.47499999403953552</v>
      </c>
      <c r="D21" s="31">
        <v>2.9674260877072811E-3</v>
      </c>
      <c r="E21" s="31">
        <v>8.0330466153100133E-4</v>
      </c>
      <c r="F21" s="31">
        <v>0.4764963686466217</v>
      </c>
      <c r="G21" s="31">
        <v>2.7518408372998238E-2</v>
      </c>
      <c r="H21" s="31">
        <v>0.18921700119972229</v>
      </c>
      <c r="I21" s="29">
        <v>2.9419960919767618E-3</v>
      </c>
      <c r="J21" s="29">
        <v>7.9903588630259037E-4</v>
      </c>
      <c r="K21" s="29">
        <v>0.47404539585113525</v>
      </c>
      <c r="L21" s="29">
        <v>2.7466587722301483E-2</v>
      </c>
      <c r="M21" s="29">
        <v>0.20242363214492798</v>
      </c>
    </row>
    <row r="29" spans="1:32" x14ac:dyDescent="0.3">
      <c r="AF29" t="s">
        <v>47</v>
      </c>
    </row>
  </sheetData>
  <mergeCells count="2">
    <mergeCell ref="D2:H2"/>
    <mergeCell ref="I2:M2"/>
  </mergeCells>
  <phoneticPr fontId="3"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MLE</vt:lpstr>
      <vt:lpstr>LSM</vt:lpstr>
      <vt:lpstr>Results</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Vincenzo Guerriero</dc:creator>
  <cp:lastModifiedBy>Enz G</cp:lastModifiedBy>
  <dcterms:created xsi:type="dcterms:W3CDTF">2010-04-11T17:22:56Z</dcterms:created>
  <dcterms:modified xsi:type="dcterms:W3CDTF">2023-04-26T11:19:46Z</dcterms:modified>
</cp:coreProperties>
</file>